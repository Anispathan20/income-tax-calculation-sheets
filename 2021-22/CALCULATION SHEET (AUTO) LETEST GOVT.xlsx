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620"/>
  </bookViews>
  <sheets>
    <sheet name="Sheet1" sheetId="13" r:id="rId1"/>
    <sheet name="MAR-21" sheetId="1" r:id="rId2"/>
    <sheet name="APR-21" sheetId="2" r:id="rId3"/>
    <sheet name="MAY-21" sheetId="3" r:id="rId4"/>
    <sheet name="JUN-21" sheetId="4" r:id="rId5"/>
    <sheet name="JUL-21" sheetId="5" r:id="rId6"/>
    <sheet name="AUG-21" sheetId="6" r:id="rId7"/>
    <sheet name="SEP-21" sheetId="7" r:id="rId8"/>
    <sheet name="OCT-21" sheetId="8" r:id="rId9"/>
    <sheet name="NOV-21" sheetId="9" r:id="rId10"/>
    <sheet name="DEC-21" sheetId="10" r:id="rId11"/>
    <sheet name="JAN-22" sheetId="11" r:id="rId12"/>
    <sheet name="FEB-22" sheetId="12" r:id="rId13"/>
    <sheet name="SUPP" sheetId="15" r:id="rId14"/>
    <sheet name="EMP NAMES" sheetId="14" r:id="rId15"/>
  </sheets>
  <definedNames>
    <definedName name="_xlnm._FilterDatabase" localSheetId="2" hidden="1">'APR-21'!$A$1:$H$1</definedName>
    <definedName name="_xlnm._FilterDatabase" localSheetId="1" hidden="1">'MAR-21'!$A$1:$H$1</definedName>
    <definedName name="_xlnm._FilterDatabase" localSheetId="0" hidden="1">Sheet1!$A$1:$BO$140</definedName>
    <definedName name="_xlnm.Print_Area" localSheetId="0">Sheet1!$A$1:$BO$140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98" i="13" l="1"/>
  <c r="AT98" i="13"/>
  <c r="AR98" i="13"/>
  <c r="AQ98" i="13"/>
  <c r="AC98" i="13"/>
  <c r="AZ51" i="13"/>
  <c r="AT51" i="13"/>
  <c r="AR51" i="13"/>
  <c r="AQ51" i="13"/>
  <c r="AC51" i="13"/>
  <c r="AZ5" i="13" l="1"/>
  <c r="AT5" i="13"/>
  <c r="AR5" i="13"/>
  <c r="AQ5" i="13"/>
  <c r="AC5" i="13"/>
  <c r="U51" i="13"/>
  <c r="U98" i="13" s="1"/>
  <c r="D123" i="13" l="1"/>
  <c r="AE98" i="13" s="1"/>
  <c r="D76" i="13"/>
  <c r="AE51" i="13" s="1"/>
  <c r="D30" i="13"/>
  <c r="AE5" i="13" s="1"/>
  <c r="D2" i="14" l="1" a="1"/>
  <c r="D2" i="14" s="1"/>
  <c r="D3" i="14" s="1" a="1"/>
  <c r="D3" i="14" s="1"/>
  <c r="D4" i="14" s="1" a="1"/>
  <c r="D4" i="14" s="1"/>
  <c r="D5" i="14" s="1" a="1"/>
  <c r="D5" i="14" s="1"/>
  <c r="D6" i="14" l="1" a="1"/>
  <c r="D6" i="14" s="1"/>
  <c r="I111" i="13"/>
  <c r="I64" i="13"/>
  <c r="I18" i="13"/>
  <c r="D7" i="14" l="1" a="1"/>
  <c r="D7" i="14" s="1"/>
  <c r="D8" i="14" s="1" a="1"/>
  <c r="D8" i="14" s="1"/>
  <c r="D9" i="14" l="1" a="1"/>
  <c r="D9" i="14" s="1"/>
  <c r="D10" i="14" s="1" a="1"/>
  <c r="D10" i="14" s="1"/>
  <c r="D11" i="14" l="1" a="1"/>
  <c r="D11" i="14" s="1"/>
  <c r="D12" i="14" l="1" a="1"/>
  <c r="D12" i="14" s="1"/>
  <c r="D13" i="14" l="1" a="1"/>
  <c r="D13" i="14" s="1"/>
  <c r="D14" i="14" l="1" a="1"/>
  <c r="D14" i="14" s="1"/>
  <c r="E2" i="14"/>
  <c r="G2" i="13" s="1"/>
  <c r="D125" i="13"/>
  <c r="AH98" i="13" s="1"/>
  <c r="Q112" i="13"/>
  <c r="Q111" i="13"/>
  <c r="D78" i="13"/>
  <c r="AH51" i="13" s="1"/>
  <c r="Q65" i="13"/>
  <c r="Q64" i="13"/>
  <c r="BH6" i="13" l="1"/>
  <c r="BH7" i="13"/>
  <c r="BH8" i="13"/>
  <c r="BH9" i="13"/>
  <c r="BH10" i="13"/>
  <c r="BH11" i="13"/>
  <c r="BH12" i="13"/>
  <c r="BH13" i="13"/>
  <c r="BH14" i="13"/>
  <c r="BH15" i="13"/>
  <c r="BH16" i="13"/>
  <c r="BH17" i="13"/>
  <c r="W5" i="13"/>
  <c r="BH5" i="13"/>
  <c r="D15" i="14" a="1"/>
  <c r="D15" i="14" s="1"/>
  <c r="D16" i="14" s="1" a="1"/>
  <c r="D16" i="14" s="1"/>
  <c r="D17" i="14" s="1" a="1"/>
  <c r="D17" i="14" s="1"/>
  <c r="D18" i="14" s="1" a="1"/>
  <c r="D18" i="14" s="1"/>
  <c r="D19" i="14" s="1" a="1"/>
  <c r="D19" i="14" s="1"/>
  <c r="D20" i="14" s="1" a="1"/>
  <c r="D20" i="14" s="1"/>
  <c r="D21" i="14" s="1" a="1"/>
  <c r="D21" i="14" s="1"/>
  <c r="D22" i="14" s="1" a="1"/>
  <c r="D22" i="14" s="1"/>
  <c r="D23" i="14" s="1" a="1"/>
  <c r="D23" i="14" s="1"/>
  <c r="D24" i="14" s="1" a="1"/>
  <c r="D24" i="14" s="1"/>
  <c r="D25" i="14" s="1" a="1"/>
  <c r="D25" i="14" s="1"/>
  <c r="D26" i="14" s="1" a="1"/>
  <c r="D26" i="14" s="1"/>
  <c r="D27" i="14" s="1" a="1"/>
  <c r="D27" i="14" s="1"/>
  <c r="D28" i="14" s="1" a="1"/>
  <c r="D28" i="14" s="1"/>
  <c r="D29" i="14" s="1" a="1"/>
  <c r="D29" i="14" s="1"/>
  <c r="D30" i="14" s="1" a="1"/>
  <c r="D30" i="14" s="1"/>
  <c r="D31" i="14" s="1" a="1"/>
  <c r="D31" i="14" s="1"/>
  <c r="D32" i="14" s="1" a="1"/>
  <c r="D32" i="14" s="1"/>
  <c r="D33" i="14" s="1" a="1"/>
  <c r="D33" i="14" s="1"/>
  <c r="D34" i="14" s="1" a="1"/>
  <c r="D34" i="14" s="1"/>
  <c r="D35" i="14" s="1" a="1"/>
  <c r="D35" i="14" s="1"/>
  <c r="D36" i="14" s="1" a="1"/>
  <c r="D36" i="14" s="1"/>
  <c r="D37" i="14" s="1" a="1"/>
  <c r="D37" i="14" s="1"/>
  <c r="D38" i="14" s="1" a="1"/>
  <c r="D38" i="14" s="1"/>
  <c r="D39" i="14" s="1" a="1"/>
  <c r="D39" i="14" s="1"/>
  <c r="D40" i="14" s="1" a="1"/>
  <c r="D40" i="14" s="1"/>
  <c r="D41" i="14" s="1" a="1"/>
  <c r="D41" i="14" s="1"/>
  <c r="D42" i="14" s="1" a="1"/>
  <c r="D42" i="14" s="1"/>
  <c r="D43" i="14" s="1" a="1"/>
  <c r="D43" i="14" s="1"/>
  <c r="D44" i="14" s="1" a="1"/>
  <c r="D44" i="14" s="1"/>
  <c r="D45" i="14" s="1" a="1"/>
  <c r="D45" i="14" s="1"/>
  <c r="D46" i="14" s="1" a="1"/>
  <c r="D46" i="14" s="1"/>
  <c r="D47" i="14" s="1" a="1"/>
  <c r="D47" i="14" s="1"/>
  <c r="D48" i="14" s="1" a="1"/>
  <c r="D48" i="14" s="1"/>
  <c r="D49" i="14" s="1" a="1"/>
  <c r="D49" i="14" s="1"/>
  <c r="D50" i="14" s="1" a="1"/>
  <c r="D50" i="14" s="1"/>
  <c r="D51" i="14" s="1" a="1"/>
  <c r="D51" i="14" s="1"/>
  <c r="D52" i="14" s="1" a="1"/>
  <c r="D52" i="14" s="1"/>
  <c r="D53" i="14" s="1" a="1"/>
  <c r="D53" i="14" s="1"/>
  <c r="D54" i="14" s="1" a="1"/>
  <c r="D54" i="14" s="1"/>
  <c r="D55" i="14" s="1" a="1"/>
  <c r="D55" i="14" s="1"/>
  <c r="D56" i="14" s="1" a="1"/>
  <c r="D56" i="14" s="1"/>
  <c r="D57" i="14" s="1" a="1"/>
  <c r="D57" i="14" s="1"/>
  <c r="D58" i="14" s="1" a="1"/>
  <c r="D58" i="14" s="1"/>
  <c r="D59" i="14" s="1" a="1"/>
  <c r="D59" i="14" s="1"/>
  <c r="D60" i="14" s="1" a="1"/>
  <c r="D60" i="14" s="1"/>
  <c r="D61" i="14" s="1" a="1"/>
  <c r="D61" i="14" s="1"/>
  <c r="D62" i="14" s="1" a="1"/>
  <c r="D62" i="14" s="1"/>
  <c r="D63" i="14" s="1" a="1"/>
  <c r="D63" i="14" s="1"/>
  <c r="D64" i="14" s="1" a="1"/>
  <c r="D64" i="14" s="1"/>
  <c r="D65" i="14" s="1" a="1"/>
  <c r="D65" i="14" s="1"/>
  <c r="D66" i="14" s="1" a="1"/>
  <c r="D66" i="14" s="1"/>
  <c r="D67" i="14" s="1" a="1"/>
  <c r="D67" i="14" s="1"/>
  <c r="D68" i="14" s="1" a="1"/>
  <c r="D68" i="14" s="1"/>
  <c r="D69" i="14" s="1" a="1"/>
  <c r="D69" i="14" s="1"/>
  <c r="D70" i="14" s="1" a="1"/>
  <c r="D70" i="14" s="1"/>
  <c r="D71" i="14" s="1" a="1"/>
  <c r="D71" i="14" s="1"/>
  <c r="D72" i="14" s="1" a="1"/>
  <c r="D72" i="14" s="1"/>
  <c r="D73" i="14" s="1" a="1"/>
  <c r="D73" i="14" s="1"/>
  <c r="D74" i="14" s="1" a="1"/>
  <c r="D74" i="14" s="1"/>
  <c r="D75" i="14" s="1" a="1"/>
  <c r="D75" i="14" s="1"/>
  <c r="D76" i="14" s="1" a="1"/>
  <c r="D76" i="14" s="1"/>
  <c r="D77" i="14" s="1" a="1"/>
  <c r="D77" i="14" s="1"/>
  <c r="D78" i="14" s="1" a="1"/>
  <c r="D78" i="14" s="1"/>
  <c r="D79" i="14" s="1" a="1"/>
  <c r="D79" i="14" s="1"/>
  <c r="D80" i="14" s="1" a="1"/>
  <c r="D80" i="14" s="1"/>
  <c r="D81" i="14" s="1" a="1"/>
  <c r="D81" i="14" s="1"/>
  <c r="D82" i="14" s="1" a="1"/>
  <c r="D82" i="14" s="1"/>
  <c r="D83" i="14" s="1" a="1"/>
  <c r="D83" i="14" s="1"/>
  <c r="D84" i="14" s="1" a="1"/>
  <c r="D84" i="14" s="1"/>
  <c r="D85" i="14" s="1" a="1"/>
  <c r="D85" i="14" s="1"/>
  <c r="D86" i="14" s="1" a="1"/>
  <c r="D86" i="14" s="1"/>
  <c r="D87" i="14" s="1" a="1"/>
  <c r="D87" i="14" s="1"/>
  <c r="D88" i="14" s="1" a="1"/>
  <c r="D88" i="14" s="1"/>
  <c r="D89" i="14" s="1" a="1"/>
  <c r="D89" i="14" s="1"/>
  <c r="D90" i="14" s="1" a="1"/>
  <c r="D90" i="14" s="1"/>
  <c r="D91" i="14" s="1" a="1"/>
  <c r="D91" i="14" s="1"/>
  <c r="D92" i="14" s="1" a="1"/>
  <c r="D92" i="14" s="1"/>
  <c r="D93" i="14" s="1" a="1"/>
  <c r="D93" i="14" s="1"/>
  <c r="D94" i="14" s="1" a="1"/>
  <c r="D94" i="14" s="1"/>
  <c r="D95" i="14" s="1" a="1"/>
  <c r="D95" i="14" s="1"/>
  <c r="D96" i="14" s="1" a="1"/>
  <c r="D96" i="14" s="1"/>
  <c r="D97" i="14" s="1" a="1"/>
  <c r="D97" i="14" s="1"/>
  <c r="D98" i="14" s="1" a="1"/>
  <c r="D98" i="14" s="1"/>
  <c r="D99" i="14" s="1" a="1"/>
  <c r="D99" i="14" s="1"/>
  <c r="D100" i="14" s="1" a="1"/>
  <c r="D100" i="14" s="1"/>
  <c r="D101" i="14" s="1" a="1"/>
  <c r="D101" i="14" s="1"/>
  <c r="D102" i="14" s="1" a="1"/>
  <c r="D102" i="14" s="1"/>
  <c r="D103" i="14" s="1" a="1"/>
  <c r="D103" i="14" s="1"/>
  <c r="D104" i="14" s="1" a="1"/>
  <c r="D104" i="14" s="1"/>
  <c r="D105" i="14" s="1" a="1"/>
  <c r="D105" i="14" s="1"/>
  <c r="D106" i="14" s="1" a="1"/>
  <c r="D106" i="14" s="1"/>
  <c r="D107" i="14" s="1" a="1"/>
  <c r="D107" i="14" s="1"/>
  <c r="D108" i="14" s="1" a="1"/>
  <c r="D108" i="14" s="1"/>
  <c r="D109" i="14" s="1" a="1"/>
  <c r="D109" i="14" s="1"/>
  <c r="D110" i="14" s="1" a="1"/>
  <c r="D110" i="14" s="1"/>
  <c r="D111" i="14" s="1" a="1"/>
  <c r="D111" i="14" s="1"/>
  <c r="D112" i="14" s="1" a="1"/>
  <c r="D112" i="14" s="1"/>
  <c r="D113" i="14" s="1" a="1"/>
  <c r="D113" i="14" s="1"/>
  <c r="D114" i="14" s="1" a="1"/>
  <c r="D114" i="14" s="1"/>
  <c r="D115" i="14" s="1" a="1"/>
  <c r="D115" i="14" s="1"/>
  <c r="D116" i="14" s="1" a="1"/>
  <c r="D116" i="14" s="1"/>
  <c r="D117" i="14" s="1" a="1"/>
  <c r="D117" i="14" s="1"/>
  <c r="D118" i="14" s="1" a="1"/>
  <c r="D118" i="14" s="1"/>
  <c r="D119" i="14" s="1" a="1"/>
  <c r="D119" i="14" s="1"/>
  <c r="D120" i="14" s="1" a="1"/>
  <c r="D120" i="14" s="1"/>
  <c r="D121" i="14" s="1" a="1"/>
  <c r="D121" i="14" s="1"/>
  <c r="D122" i="14" s="1" a="1"/>
  <c r="D122" i="14" s="1"/>
  <c r="D123" i="14" s="1" a="1"/>
  <c r="D123" i="14" s="1"/>
  <c r="D124" i="14" s="1" a="1"/>
  <c r="D124" i="14" s="1"/>
  <c r="D125" i="14" s="1" a="1"/>
  <c r="D125" i="14" s="1"/>
  <c r="D126" i="14" s="1" a="1"/>
  <c r="D126" i="14" s="1"/>
  <c r="D127" i="14" s="1" a="1"/>
  <c r="D127" i="14" s="1"/>
  <c r="D128" i="14" s="1" a="1"/>
  <c r="D128" i="14" s="1"/>
  <c r="D129" i="14" s="1" a="1"/>
  <c r="D129" i="14" s="1"/>
  <c r="D130" i="14" s="1" a="1"/>
  <c r="D130" i="14" s="1"/>
  <c r="D131" i="14" s="1" a="1"/>
  <c r="D131" i="14" s="1"/>
  <c r="D132" i="14" s="1" a="1"/>
  <c r="D132" i="14" s="1"/>
  <c r="D133" i="14" s="1" a="1"/>
  <c r="D133" i="14" s="1"/>
  <c r="D134" i="14" s="1" a="1"/>
  <c r="D134" i="14" s="1"/>
  <c r="D135" i="14" s="1" a="1"/>
  <c r="D135" i="14" s="1"/>
  <c r="D136" i="14" s="1" a="1"/>
  <c r="D136" i="14" s="1"/>
  <c r="D137" i="14" s="1" a="1"/>
  <c r="D137" i="14" s="1"/>
  <c r="D138" i="14" s="1" a="1"/>
  <c r="D138" i="14" s="1"/>
  <c r="D139" i="14" s="1" a="1"/>
  <c r="D139" i="14" s="1"/>
  <c r="D140" i="14" s="1" a="1"/>
  <c r="D140" i="14" s="1"/>
  <c r="D141" i="14" s="1" a="1"/>
  <c r="D141" i="14" s="1"/>
  <c r="D142" i="14" s="1" a="1"/>
  <c r="D142" i="14" s="1"/>
  <c r="D143" i="14" s="1" a="1"/>
  <c r="D143" i="14" s="1"/>
  <c r="D144" i="14" s="1" a="1"/>
  <c r="D144" i="14" s="1"/>
  <c r="D145" i="14" s="1" a="1"/>
  <c r="D145" i="14" s="1"/>
  <c r="D146" i="14" s="1" a="1"/>
  <c r="D146" i="14" s="1"/>
  <c r="D147" i="14" s="1" a="1"/>
  <c r="D147" i="14" s="1"/>
  <c r="D148" i="14" s="1" a="1"/>
  <c r="D148" i="14" s="1"/>
  <c r="D149" i="14" s="1" a="1"/>
  <c r="D149" i="14" s="1"/>
  <c r="D150" i="14" s="1" a="1"/>
  <c r="D150" i="14" s="1"/>
  <c r="D151" i="14" s="1" a="1"/>
  <c r="D151" i="14" s="1"/>
  <c r="D152" i="14" s="1" a="1"/>
  <c r="D152" i="14" s="1"/>
  <c r="D153" i="14" s="1" a="1"/>
  <c r="D153" i="14" s="1"/>
  <c r="D154" i="14" s="1" a="1"/>
  <c r="D154" i="14" s="1"/>
  <c r="D155" i="14" s="1" a="1"/>
  <c r="D155" i="14" s="1"/>
  <c r="D156" i="14" s="1" a="1"/>
  <c r="D156" i="14" s="1"/>
  <c r="D157" i="14" s="1" a="1"/>
  <c r="D157" i="14" s="1"/>
  <c r="D158" i="14" s="1" a="1"/>
  <c r="D158" i="14" s="1"/>
  <c r="D159" i="14" s="1" a="1"/>
  <c r="D159" i="14" s="1"/>
  <c r="D160" i="14" s="1" a="1"/>
  <c r="D160" i="14" s="1"/>
  <c r="D161" i="14" s="1" a="1"/>
  <c r="D161" i="14" s="1"/>
  <c r="D162" i="14" s="1" a="1"/>
  <c r="D162" i="14" s="1"/>
  <c r="D163" i="14" s="1" a="1"/>
  <c r="D163" i="14" s="1"/>
  <c r="D164" i="14" s="1" a="1"/>
  <c r="D164" i="14" s="1"/>
  <c r="D165" i="14" s="1" a="1"/>
  <c r="D165" i="14" s="1"/>
  <c r="D166" i="14" s="1" a="1"/>
  <c r="D166" i="14" s="1"/>
  <c r="D167" i="14" s="1" a="1"/>
  <c r="D167" i="14" s="1"/>
  <c r="D168" i="14" s="1" a="1"/>
  <c r="D168" i="14" s="1"/>
  <c r="D169" i="14" s="1" a="1"/>
  <c r="D169" i="14" s="1"/>
  <c r="D170" i="14" s="1" a="1"/>
  <c r="D170" i="14" s="1"/>
  <c r="D171" i="14" s="1" a="1"/>
  <c r="D171" i="14" s="1"/>
  <c r="D172" i="14" s="1" a="1"/>
  <c r="D172" i="14" s="1"/>
  <c r="D173" i="14" s="1" a="1"/>
  <c r="D173" i="14" s="1"/>
  <c r="D174" i="14" s="1" a="1"/>
  <c r="D174" i="14" s="1"/>
  <c r="D175" i="14" s="1" a="1"/>
  <c r="D175" i="14" s="1"/>
  <c r="D176" i="14" s="1" a="1"/>
  <c r="D176" i="14" s="1"/>
  <c r="D177" i="14" s="1" a="1"/>
  <c r="D177" i="14" s="1"/>
  <c r="D178" i="14" s="1" a="1"/>
  <c r="D178" i="14" s="1"/>
  <c r="D179" i="14" s="1" a="1"/>
  <c r="D179" i="14" s="1"/>
  <c r="D180" i="14" s="1" a="1"/>
  <c r="D180" i="14" s="1"/>
  <c r="D181" i="14" s="1" a="1"/>
  <c r="D181" i="14" s="1"/>
  <c r="D182" i="14" s="1" a="1"/>
  <c r="D182" i="14" s="1"/>
  <c r="D183" i="14" s="1" a="1"/>
  <c r="D183" i="14" s="1"/>
  <c r="D184" i="14" s="1" a="1"/>
  <c r="D184" i="14" s="1"/>
  <c r="D185" i="14" s="1" a="1"/>
  <c r="D185" i="14" s="1"/>
  <c r="D186" i="14" s="1" a="1"/>
  <c r="D186" i="14" s="1"/>
  <c r="D187" i="14" s="1" a="1"/>
  <c r="D187" i="14" s="1"/>
  <c r="D188" i="14" s="1" a="1"/>
  <c r="D188" i="14" s="1"/>
  <c r="D189" i="14" s="1" a="1"/>
  <c r="D189" i="14" s="1"/>
  <c r="D190" i="14" s="1" a="1"/>
  <c r="D190" i="14" s="1"/>
  <c r="D191" i="14" s="1" a="1"/>
  <c r="D191" i="14" s="1"/>
  <c r="D192" i="14" s="1" a="1"/>
  <c r="D192" i="14" s="1"/>
  <c r="D193" i="14" s="1" a="1"/>
  <c r="D193" i="14" s="1"/>
  <c r="D194" i="14" s="1" a="1"/>
  <c r="D194" i="14" s="1"/>
  <c r="D195" i="14" s="1" a="1"/>
  <c r="D195" i="14" s="1"/>
  <c r="D196" i="14" s="1" a="1"/>
  <c r="D196" i="14" s="1"/>
  <c r="D197" i="14" s="1" a="1"/>
  <c r="D197" i="14" s="1"/>
  <c r="D198" i="14" s="1" a="1"/>
  <c r="D198" i="14" s="1"/>
  <c r="D199" i="14" s="1" a="1"/>
  <c r="D199" i="14" s="1"/>
  <c r="D200" i="14" s="1" a="1"/>
  <c r="D200" i="14" s="1"/>
  <c r="D201" i="14" s="1" a="1"/>
  <c r="D201" i="14" s="1"/>
  <c r="D202" i="14" s="1" a="1"/>
  <c r="D202" i="14" s="1"/>
  <c r="D203" i="14" s="1" a="1"/>
  <c r="D203" i="14" s="1"/>
  <c r="D204" i="14" s="1" a="1"/>
  <c r="D204" i="14" s="1"/>
  <c r="D205" i="14" s="1" a="1"/>
  <c r="D205" i="14" s="1"/>
  <c r="D206" i="14" s="1" a="1"/>
  <c r="D206" i="14" s="1"/>
  <c r="D207" i="14" s="1" a="1"/>
  <c r="D207" i="14" s="1"/>
  <c r="D208" i="14" s="1" a="1"/>
  <c r="D208" i="14" s="1"/>
  <c r="D209" i="14" s="1" a="1"/>
  <c r="D209" i="14" s="1"/>
  <c r="D210" i="14" s="1" a="1"/>
  <c r="D210" i="14" s="1"/>
  <c r="D211" i="14" s="1" a="1"/>
  <c r="D211" i="14" s="1"/>
  <c r="D212" i="14" s="1" a="1"/>
  <c r="D212" i="14" s="1"/>
  <c r="D213" i="14" s="1" a="1"/>
  <c r="D213" i="14" s="1"/>
  <c r="D214" i="14" s="1" a="1"/>
  <c r="D214" i="14" s="1"/>
  <c r="D215" i="14" s="1" a="1"/>
  <c r="D215" i="14" s="1"/>
  <c r="D216" i="14" s="1" a="1"/>
  <c r="D216" i="14" s="1"/>
  <c r="D217" i="14" s="1" a="1"/>
  <c r="D217" i="14" s="1"/>
  <c r="D218" i="14" s="1" a="1"/>
  <c r="D218" i="14" s="1"/>
  <c r="D219" i="14" s="1" a="1"/>
  <c r="D219" i="14" s="1"/>
  <c r="D220" i="14" s="1" a="1"/>
  <c r="D220" i="14" s="1"/>
  <c r="D221" i="14" s="1" a="1"/>
  <c r="D221" i="14" s="1"/>
  <c r="D222" i="14" s="1" a="1"/>
  <c r="D222" i="14" s="1"/>
  <c r="D223" i="14" s="1" a="1"/>
  <c r="D223" i="14" s="1"/>
  <c r="D224" i="14" s="1" a="1"/>
  <c r="D224" i="14" s="1"/>
  <c r="D225" i="14" s="1" a="1"/>
  <c r="D225" i="14" s="1"/>
  <c r="D226" i="14" s="1" a="1"/>
  <c r="D226" i="14" s="1"/>
  <c r="D227" i="14" s="1" a="1"/>
  <c r="D227" i="14" s="1"/>
  <c r="D228" i="14" s="1" a="1"/>
  <c r="D228" i="14" s="1"/>
  <c r="D229" i="14" s="1" a="1"/>
  <c r="D229" i="14" s="1"/>
  <c r="D230" i="14" s="1" a="1"/>
  <c r="D230" i="14" s="1"/>
  <c r="D231" i="14" s="1" a="1"/>
  <c r="D231" i="14" s="1"/>
  <c r="D232" i="14" s="1" a="1"/>
  <c r="D232" i="14" s="1"/>
  <c r="D233" i="14" s="1" a="1"/>
  <c r="D233" i="14" s="1"/>
  <c r="D234" i="14" s="1" a="1"/>
  <c r="D234" i="14" s="1"/>
  <c r="D235" i="14" s="1" a="1"/>
  <c r="D235" i="14" s="1"/>
  <c r="D236" i="14" s="1" a="1"/>
  <c r="D236" i="14" s="1"/>
  <c r="D237" i="14" s="1" a="1"/>
  <c r="D237" i="14" s="1"/>
  <c r="D238" i="14" s="1" a="1"/>
  <c r="D238" i="14" s="1"/>
  <c r="D239" i="14" s="1" a="1"/>
  <c r="D239" i="14" s="1"/>
  <c r="D240" i="14" s="1" a="1"/>
  <c r="D240" i="14" s="1"/>
  <c r="D241" i="14" s="1" a="1"/>
  <c r="D241" i="14" s="1"/>
  <c r="D242" i="14" s="1" a="1"/>
  <c r="D242" i="14" s="1"/>
  <c r="D243" i="14" s="1" a="1"/>
  <c r="D243" i="14" s="1"/>
  <c r="D244" i="14" s="1" a="1"/>
  <c r="D244" i="14" s="1"/>
  <c r="D245" i="14" s="1" a="1"/>
  <c r="D245" i="14" s="1"/>
  <c r="D246" i="14" s="1" a="1"/>
  <c r="D246" i="14" s="1"/>
  <c r="D247" i="14" s="1" a="1"/>
  <c r="D247" i="14" s="1"/>
  <c r="D248" i="14" s="1" a="1"/>
  <c r="D248" i="14" s="1"/>
  <c r="D249" i="14" s="1" a="1"/>
  <c r="D249" i="14" s="1"/>
  <c r="D250" i="14" s="1" a="1"/>
  <c r="D250" i="14" s="1"/>
  <c r="D251" i="14" s="1" a="1"/>
  <c r="D251" i="14" s="1"/>
  <c r="D252" i="14" s="1" a="1"/>
  <c r="D252" i="14" s="1"/>
  <c r="D253" i="14" s="1" a="1"/>
  <c r="D253" i="14" s="1"/>
  <c r="D254" i="14" s="1" a="1"/>
  <c r="D254" i="14" s="1"/>
  <c r="D255" i="14" s="1" a="1"/>
  <c r="D255" i="14" s="1"/>
  <c r="D256" i="14" s="1" a="1"/>
  <c r="D256" i="14" s="1"/>
  <c r="D257" i="14" s="1" a="1"/>
  <c r="D257" i="14" s="1"/>
  <c r="D258" i="14" s="1" a="1"/>
  <c r="D258" i="14" s="1"/>
  <c r="D259" i="14" s="1" a="1"/>
  <c r="D259" i="14" s="1"/>
  <c r="D260" i="14" s="1" a="1"/>
  <c r="D260" i="14" s="1"/>
  <c r="D261" i="14" s="1" a="1"/>
  <c r="D261" i="14" s="1"/>
  <c r="D262" i="14" s="1" a="1"/>
  <c r="D262" i="14" s="1"/>
  <c r="D263" i="14" s="1" a="1"/>
  <c r="D263" i="14" s="1"/>
  <c r="D264" i="14" s="1" a="1"/>
  <c r="D264" i="14" s="1"/>
  <c r="D265" i="14" s="1" a="1"/>
  <c r="D265" i="14" s="1"/>
  <c r="D266" i="14" s="1" a="1"/>
  <c r="D266" i="14" s="1"/>
  <c r="D267" i="14" s="1" a="1"/>
  <c r="D267" i="14" s="1"/>
  <c r="D268" i="14" s="1" a="1"/>
  <c r="D268" i="14" s="1"/>
  <c r="D269" i="14" s="1" a="1"/>
  <c r="D269" i="14" s="1"/>
  <c r="D270" i="14" s="1" a="1"/>
  <c r="D270" i="14" s="1"/>
  <c r="D271" i="14" s="1" a="1"/>
  <c r="D271" i="14" s="1"/>
  <c r="D272" i="14" s="1" a="1"/>
  <c r="D272" i="14" s="1"/>
  <c r="D273" i="14" s="1" a="1"/>
  <c r="D273" i="14" s="1"/>
  <c r="D274" i="14" s="1" a="1"/>
  <c r="D274" i="14" s="1"/>
  <c r="D275" i="14" s="1" a="1"/>
  <c r="D275" i="14" s="1"/>
  <c r="D276" i="14" s="1" a="1"/>
  <c r="D276" i="14" s="1"/>
  <c r="D277" i="14" s="1" a="1"/>
  <c r="D277" i="14" s="1"/>
  <c r="D278" i="14" s="1" a="1"/>
  <c r="D278" i="14" s="1"/>
  <c r="D279" i="14" s="1" a="1"/>
  <c r="D279" i="14" s="1"/>
  <c r="D280" i="14" s="1" a="1"/>
  <c r="D280" i="14" s="1"/>
  <c r="D281" i="14" s="1" a="1"/>
  <c r="D281" i="14" s="1"/>
  <c r="D282" i="14" s="1" a="1"/>
  <c r="D282" i="14" s="1"/>
  <c r="D283" i="14" s="1" a="1"/>
  <c r="D283" i="14" s="1"/>
  <c r="D284" i="14" s="1" a="1"/>
  <c r="D284" i="14" s="1"/>
  <c r="D285" i="14" s="1" a="1"/>
  <c r="D285" i="14" s="1"/>
  <c r="D286" i="14" s="1" a="1"/>
  <c r="D286" i="14" s="1"/>
  <c r="D287" i="14" s="1" a="1"/>
  <c r="D287" i="14" s="1"/>
  <c r="D288" i="14" s="1" a="1"/>
  <c r="D288" i="14" s="1"/>
  <c r="D289" i="14" s="1" a="1"/>
  <c r="D289" i="14" s="1"/>
  <c r="D290" i="14" s="1" a="1"/>
  <c r="D290" i="14" s="1"/>
  <c r="D291" i="14" s="1" a="1"/>
  <c r="D291" i="14" s="1"/>
  <c r="D292" i="14" s="1" a="1"/>
  <c r="D292" i="14" s="1"/>
  <c r="D293" i="14" s="1" a="1"/>
  <c r="D293" i="14" s="1"/>
  <c r="D294" i="14" s="1" a="1"/>
  <c r="D294" i="14" s="1"/>
  <c r="D295" i="14" s="1" a="1"/>
  <c r="D295" i="14" s="1"/>
  <c r="D296" i="14" s="1" a="1"/>
  <c r="D296" i="14" s="1"/>
  <c r="D297" i="14" s="1" a="1"/>
  <c r="D297" i="14" s="1"/>
  <c r="D298" i="14" s="1" a="1"/>
  <c r="D298" i="14" s="1"/>
  <c r="D299" i="14" s="1" a="1"/>
  <c r="D299" i="14" s="1"/>
  <c r="D300" i="14" s="1" a="1"/>
  <c r="D300" i="14" s="1"/>
  <c r="A1" i="13" l="1"/>
  <c r="BM17" i="13" l="1"/>
  <c r="BI6" i="13"/>
  <c r="BI7" i="13"/>
  <c r="BI8" i="13"/>
  <c r="BI9" i="13"/>
  <c r="BI10" i="13"/>
  <c r="BI11" i="13"/>
  <c r="BI12" i="13"/>
  <c r="BI13" i="13"/>
  <c r="BI14" i="13"/>
  <c r="BI15" i="13"/>
  <c r="BI16" i="13"/>
  <c r="BI17" i="13"/>
  <c r="BJ6" i="13" a="1"/>
  <c r="BJ6" i="13" s="1"/>
  <c r="BJ7" i="13" a="1"/>
  <c r="BJ7" i="13" s="1"/>
  <c r="BJ8" i="13" a="1"/>
  <c r="BJ8" i="13" s="1"/>
  <c r="BJ9" i="13" a="1"/>
  <c r="BJ9" i="13" s="1"/>
  <c r="BJ10" i="13" a="1"/>
  <c r="BJ10" i="13" s="1"/>
  <c r="BJ11" i="13" a="1"/>
  <c r="BJ11" i="13" s="1"/>
  <c r="BJ12" i="13" a="1"/>
  <c r="BJ12" i="13" s="1"/>
  <c r="BJ13" i="13" a="1"/>
  <c r="BJ13" i="13" s="1"/>
  <c r="BJ14" i="13" a="1"/>
  <c r="BJ14" i="13" s="1"/>
  <c r="BJ15" i="13" a="1"/>
  <c r="BJ15" i="13" s="1"/>
  <c r="BJ16" i="13" a="1"/>
  <c r="BJ16" i="13" s="1"/>
  <c r="BJ17" i="13" a="1"/>
  <c r="BJ17" i="13" s="1"/>
  <c r="BM6" i="13" a="1"/>
  <c r="BM6" i="13" s="1"/>
  <c r="BM7" i="13" a="1"/>
  <c r="BM7" i="13" s="1"/>
  <c r="BM8" i="13" a="1"/>
  <c r="BM8" i="13" s="1"/>
  <c r="BM9" i="13" a="1"/>
  <c r="BM9" i="13" s="1"/>
  <c r="BM10" i="13" a="1"/>
  <c r="BM10" i="13" s="1"/>
  <c r="BM11" i="13" a="1"/>
  <c r="BM11" i="13" s="1"/>
  <c r="BM12" i="13" a="1"/>
  <c r="BM12" i="13" s="1"/>
  <c r="BM13" i="13" a="1"/>
  <c r="BM13" i="13" s="1"/>
  <c r="BM14" i="13" a="1"/>
  <c r="BM14" i="13" s="1"/>
  <c r="BM15" i="13" a="1"/>
  <c r="BM15" i="13" s="1"/>
  <c r="BM16" i="13" a="1"/>
  <c r="BM16" i="13" s="1"/>
  <c r="BJ5" i="13" a="1"/>
  <c r="BJ5" i="13" s="1"/>
  <c r="BM5" i="13" a="1"/>
  <c r="BM5" i="13" s="1"/>
  <c r="BI5" i="13"/>
  <c r="H17" i="13" a="1"/>
  <c r="H17" i="13" s="1"/>
  <c r="O17" i="13" a="1"/>
  <c r="O17" i="13" s="1"/>
  <c r="N17" i="13" a="1"/>
  <c r="N17" i="13" s="1"/>
  <c r="X5" i="13"/>
  <c r="R17" i="13" a="1"/>
  <c r="R17" i="13" s="1"/>
  <c r="BL17" i="13" s="1"/>
  <c r="M17" i="13" a="1"/>
  <c r="M17" i="13" s="1"/>
  <c r="D17" i="13" a="1"/>
  <c r="D17" i="13" s="1"/>
  <c r="G17" i="13"/>
  <c r="K17" i="13" a="1"/>
  <c r="K17" i="13" s="1"/>
  <c r="I10" i="13" a="1"/>
  <c r="I10" i="13" s="1"/>
  <c r="P15" i="13" a="1"/>
  <c r="P15" i="13" s="1"/>
  <c r="P10" i="13" a="1"/>
  <c r="P10" i="13" s="1"/>
  <c r="P6" i="13" a="1"/>
  <c r="P6" i="13" s="1"/>
  <c r="P11" i="13" a="1"/>
  <c r="P11" i="13" s="1"/>
  <c r="P14" i="13" a="1"/>
  <c r="P14" i="13" s="1"/>
  <c r="P9" i="13" a="1"/>
  <c r="P9" i="13" s="1"/>
  <c r="P5" i="13" a="1"/>
  <c r="P5" i="13" s="1"/>
  <c r="P16" i="13" a="1"/>
  <c r="P16" i="13" s="1"/>
  <c r="P17" i="13" a="1"/>
  <c r="P17" i="13" s="1"/>
  <c r="P13" i="13" a="1"/>
  <c r="P13" i="13" s="1"/>
  <c r="P8" i="13" a="1"/>
  <c r="P8" i="13" s="1"/>
  <c r="P7" i="13" a="1"/>
  <c r="P7" i="13" s="1"/>
  <c r="M16" i="13" a="1"/>
  <c r="M16" i="13" s="1"/>
  <c r="M12" i="13"/>
  <c r="M8" i="13"/>
  <c r="M13" i="13"/>
  <c r="M15" i="13" a="1"/>
  <c r="M15" i="13" s="1"/>
  <c r="M11" i="13"/>
  <c r="M7" i="13"/>
  <c r="M9" i="13"/>
  <c r="M14" i="13"/>
  <c r="M10" i="13"/>
  <c r="M6" i="13"/>
  <c r="M5" i="13"/>
  <c r="P12" i="13" a="1"/>
  <c r="P12" i="13" s="1"/>
  <c r="I7" i="13" a="1"/>
  <c r="I7" i="13" s="1"/>
  <c r="I12" i="13" a="1"/>
  <c r="I12" i="13" s="1"/>
  <c r="D15" i="13"/>
  <c r="D10" i="13"/>
  <c r="D6" i="13"/>
  <c r="D7" i="13"/>
  <c r="D14" i="13"/>
  <c r="D9" i="13"/>
  <c r="D5" i="13"/>
  <c r="D12" i="13"/>
  <c r="D16" i="13"/>
  <c r="D8" i="13"/>
  <c r="D11" i="13"/>
  <c r="C14" i="13"/>
  <c r="C10" i="13"/>
  <c r="C6" i="13"/>
  <c r="C7" i="13"/>
  <c r="C17" i="13"/>
  <c r="C13" i="13"/>
  <c r="C9" i="13"/>
  <c r="C5" i="13"/>
  <c r="C11" i="13"/>
  <c r="C16" i="13"/>
  <c r="C12" i="13"/>
  <c r="C8" i="13"/>
  <c r="C15" i="13"/>
  <c r="D13" i="13"/>
  <c r="I13" i="13" a="1"/>
  <c r="I13" i="13" s="1"/>
  <c r="I6" i="13" a="1"/>
  <c r="I6" i="13" s="1"/>
  <c r="F16" i="13" a="1"/>
  <c r="F16" i="13" s="1"/>
  <c r="F12" i="13" a="1"/>
  <c r="F12" i="13" s="1"/>
  <c r="F8" i="13" a="1"/>
  <c r="F8" i="13" s="1"/>
  <c r="F15" i="13" a="1"/>
  <c r="F15" i="13" s="1"/>
  <c r="F11" i="13" a="1"/>
  <c r="F11" i="13" s="1"/>
  <c r="F7" i="13" a="1"/>
  <c r="F7" i="13" s="1"/>
  <c r="F14" i="13" a="1"/>
  <c r="F14" i="13" s="1"/>
  <c r="F10" i="13" a="1"/>
  <c r="F10" i="13" s="1"/>
  <c r="F6" i="13"/>
  <c r="F13" i="13" a="1"/>
  <c r="F13" i="13" s="1"/>
  <c r="F9" i="13" a="1"/>
  <c r="F9" i="13" s="1"/>
  <c r="F17" i="13" a="1"/>
  <c r="F17" i="13" s="1"/>
  <c r="F5" i="13" a="1"/>
  <c r="F5" i="13" s="1"/>
  <c r="R16" i="13" a="1"/>
  <c r="R16" i="13" s="1"/>
  <c r="BL16" i="13" s="1"/>
  <c r="I17" i="13" a="1"/>
  <c r="I17" i="13" s="1"/>
  <c r="H16" i="13"/>
  <c r="O15" i="13" a="1"/>
  <c r="O15" i="13" s="1"/>
  <c r="K15" i="13"/>
  <c r="O16" i="13" a="1"/>
  <c r="O16" i="13" s="1"/>
  <c r="I16" i="13" a="1"/>
  <c r="I16" i="13" s="1"/>
  <c r="G15" i="13"/>
  <c r="L17" i="13"/>
  <c r="E17" i="13"/>
  <c r="L16" i="13"/>
  <c r="G16" i="13"/>
  <c r="N15" i="13"/>
  <c r="I15" i="13" a="1"/>
  <c r="I15" i="13" s="1"/>
  <c r="E15" i="13"/>
  <c r="K16" i="13"/>
  <c r="R15" i="13" a="1"/>
  <c r="R15" i="13" s="1"/>
  <c r="BL15" i="13" s="1"/>
  <c r="H15" i="13"/>
  <c r="N16" i="13"/>
  <c r="E16" i="13"/>
  <c r="L15" i="13"/>
  <c r="L14" i="13"/>
  <c r="L10" i="13"/>
  <c r="L6" i="13"/>
  <c r="L11" i="13"/>
  <c r="L13" i="13"/>
  <c r="L9" i="13"/>
  <c r="L5" i="13"/>
  <c r="L12" i="13" a="1"/>
  <c r="L12" i="13" s="1"/>
  <c r="L8" i="13"/>
  <c r="L7" i="13"/>
  <c r="H9" i="13" a="1"/>
  <c r="H9" i="13" s="1"/>
  <c r="E6" i="13" a="1"/>
  <c r="E6" i="13" s="1"/>
  <c r="O6" i="13" a="1"/>
  <c r="O6" i="13" s="1"/>
  <c r="R6" i="13" a="1"/>
  <c r="R6" i="13" s="1"/>
  <c r="BL6" i="13" s="1"/>
  <c r="O5" i="13" a="1"/>
  <c r="O5" i="13" s="1"/>
  <c r="I8" i="13" a="1"/>
  <c r="I8" i="13" s="1"/>
  <c r="I5" i="13" a="1"/>
  <c r="I5" i="13" s="1"/>
  <c r="I11" i="13" a="1"/>
  <c r="I11" i="13" s="1"/>
  <c r="I14" i="13" a="1"/>
  <c r="I14" i="13" s="1"/>
  <c r="I9" i="13" a="1"/>
  <c r="I9" i="13" s="1"/>
  <c r="O14" i="13" a="1"/>
  <c r="O14" i="13" s="1"/>
  <c r="O13" i="13" a="1"/>
  <c r="O13" i="13" s="1"/>
  <c r="O12" i="13" a="1"/>
  <c r="O12" i="13" s="1"/>
  <c r="O11" i="13" a="1"/>
  <c r="O11" i="13" s="1"/>
  <c r="O7" i="13" a="1"/>
  <c r="O7" i="13" s="1"/>
  <c r="O10" i="13" a="1"/>
  <c r="O10" i="13" s="1"/>
  <c r="O9" i="13" a="1"/>
  <c r="O9" i="13" s="1"/>
  <c r="O8" i="13" a="1"/>
  <c r="O8" i="13" s="1"/>
  <c r="K9" i="13"/>
  <c r="R9" i="13"/>
  <c r="BL9" i="13" s="1"/>
  <c r="R14" i="13" a="1"/>
  <c r="R14" i="13" s="1"/>
  <c r="BL14" i="13" s="1"/>
  <c r="R8" i="13" a="1"/>
  <c r="R8" i="13" s="1"/>
  <c r="BL8" i="13" s="1"/>
  <c r="K14" i="13"/>
  <c r="K8" i="13"/>
  <c r="R13" i="13" a="1"/>
  <c r="R13" i="13" s="1"/>
  <c r="BL13" i="13" s="1"/>
  <c r="R7" i="13"/>
  <c r="BL7" i="13" s="1"/>
  <c r="K13" i="13"/>
  <c r="K7" i="13"/>
  <c r="R10" i="13" a="1"/>
  <c r="R10" i="13" s="1"/>
  <c r="BL10" i="13" s="1"/>
  <c r="H5" i="13"/>
  <c r="R12" i="13" a="1"/>
  <c r="R12" i="13" s="1"/>
  <c r="BL12" i="13" s="1"/>
  <c r="N5" i="13"/>
  <c r="K12" i="13"/>
  <c r="R5" i="13"/>
  <c r="BL5" i="13" s="1"/>
  <c r="H42" i="13" a="1"/>
  <c r="H42" i="13" s="1"/>
  <c r="AS5" i="13" s="1"/>
  <c r="R11" i="13" a="1"/>
  <c r="R11" i="13" s="1"/>
  <c r="BL11" i="13" s="1"/>
  <c r="K11" i="13"/>
  <c r="K10" i="13"/>
  <c r="L20" i="13" l="1"/>
  <c r="AA24" i="13" a="1"/>
  <c r="AA24" i="13" s="1"/>
  <c r="A47" i="13"/>
  <c r="X51" i="13" s="1"/>
  <c r="E3" i="14"/>
  <c r="A94" i="13"/>
  <c r="X98" i="13" s="1"/>
  <c r="BM63" i="13" l="1"/>
  <c r="AB70" i="13"/>
  <c r="BM110" i="13"/>
  <c r="AB117" i="13"/>
  <c r="BJ110" i="13" a="1"/>
  <c r="BJ110" i="13" s="1"/>
  <c r="BI110" i="13"/>
  <c r="BJ63" i="13" a="1"/>
  <c r="BJ63" i="13" s="1"/>
  <c r="BI63" i="13"/>
  <c r="BM62" i="13" a="1"/>
  <c r="BM62" i="13" s="1"/>
  <c r="BI62" i="13"/>
  <c r="BJ62" i="13" a="1"/>
  <c r="BJ62" i="13" s="1"/>
  <c r="BJ109" i="13" a="1"/>
  <c r="BJ109" i="13" s="1"/>
  <c r="BI109" i="13"/>
  <c r="BM109" i="13" a="1"/>
  <c r="BM109" i="13" s="1"/>
  <c r="BI61" i="13"/>
  <c r="BM61" i="13" a="1"/>
  <c r="BM61" i="13" s="1"/>
  <c r="BJ61" i="13" a="1"/>
  <c r="BJ61" i="13" s="1"/>
  <c r="BJ108" i="13" a="1"/>
  <c r="BJ108" i="13" s="1"/>
  <c r="BI108" i="13"/>
  <c r="BM108" i="13" a="1"/>
  <c r="BM108" i="13" s="1"/>
  <c r="BM60" i="13" a="1"/>
  <c r="BM60" i="13" s="1"/>
  <c r="BI60" i="13"/>
  <c r="BJ60" i="13" a="1"/>
  <c r="BJ60" i="13" s="1"/>
  <c r="BM107" i="13" a="1"/>
  <c r="BM107" i="13" s="1"/>
  <c r="BJ107" i="13" a="1"/>
  <c r="BJ107" i="13" s="1"/>
  <c r="BI107" i="13"/>
  <c r="BM59" i="13" a="1"/>
  <c r="BM59" i="13" s="1"/>
  <c r="BJ59" i="13" a="1"/>
  <c r="BJ59" i="13" s="1"/>
  <c r="BI59" i="13"/>
  <c r="BI106" i="13"/>
  <c r="BJ106" i="13" a="1"/>
  <c r="BJ106" i="13" s="1"/>
  <c r="BM106" i="13" a="1"/>
  <c r="BM106" i="13" s="1"/>
  <c r="BJ105" i="13" a="1"/>
  <c r="BJ105" i="13" s="1"/>
  <c r="BI105" i="13"/>
  <c r="BM105" i="13" a="1"/>
  <c r="BM105" i="13" s="1"/>
  <c r="BM58" i="13" a="1"/>
  <c r="BM58" i="13" s="1"/>
  <c r="BI58" i="13"/>
  <c r="BJ58" i="13" a="1"/>
  <c r="BJ58" i="13" s="1"/>
  <c r="BM104" i="13" a="1"/>
  <c r="BM104" i="13" s="1"/>
  <c r="BJ104" i="13" a="1"/>
  <c r="BJ104" i="13" s="1"/>
  <c r="BI104" i="13"/>
  <c r="BM57" i="13" a="1"/>
  <c r="BM57" i="13" s="1"/>
  <c r="BJ57" i="13" a="1"/>
  <c r="BJ57" i="13" s="1"/>
  <c r="BI57" i="13"/>
  <c r="BM56" i="13" a="1"/>
  <c r="BM56" i="13" s="1"/>
  <c r="BI56" i="13"/>
  <c r="BJ56" i="13" a="1"/>
  <c r="BJ56" i="13" s="1"/>
  <c r="BJ103" i="13" a="1"/>
  <c r="BJ103" i="13" s="1"/>
  <c r="BI103" i="13"/>
  <c r="BM103" i="13" a="1"/>
  <c r="BM103" i="13" s="1"/>
  <c r="BJ55" i="13" a="1"/>
  <c r="BJ55" i="13" s="1"/>
  <c r="BM55" i="13" a="1"/>
  <c r="BM55" i="13" s="1"/>
  <c r="BI55" i="13"/>
  <c r="BM102" i="13" a="1"/>
  <c r="BM102" i="13" s="1"/>
  <c r="BI102" i="13"/>
  <c r="BJ102" i="13" a="1"/>
  <c r="BJ102" i="13" s="1"/>
  <c r="BM101" i="13" a="1"/>
  <c r="BM101" i="13" s="1"/>
  <c r="BJ101" i="13" a="1"/>
  <c r="BJ101" i="13" s="1"/>
  <c r="BI101" i="13"/>
  <c r="BJ54" i="13" a="1"/>
  <c r="BJ54" i="13" s="1"/>
  <c r="BM54" i="13" a="1"/>
  <c r="BM54" i="13" s="1"/>
  <c r="BI54" i="13"/>
  <c r="BJ53" i="13" a="1"/>
  <c r="BJ53" i="13" s="1"/>
  <c r="BI53" i="13"/>
  <c r="BM53" i="13" a="1"/>
  <c r="BM53" i="13" s="1"/>
  <c r="BI100" i="13"/>
  <c r="BM100" i="13" a="1"/>
  <c r="BM100" i="13" s="1"/>
  <c r="BJ100" i="13" a="1"/>
  <c r="BJ100" i="13" s="1"/>
  <c r="BI52" i="13"/>
  <c r="BM52" i="13" a="1"/>
  <c r="BM52" i="13" s="1"/>
  <c r="BJ52" i="13" a="1"/>
  <c r="BJ52" i="13" s="1"/>
  <c r="BI99" i="13"/>
  <c r="BM99" i="13" a="1"/>
  <c r="BM99" i="13" s="1"/>
  <c r="BJ99" i="13" a="1"/>
  <c r="BJ99" i="13" s="1"/>
  <c r="BI98" i="13"/>
  <c r="BM98" i="13" a="1"/>
  <c r="BM98" i="13" s="1"/>
  <c r="BJ98" i="13" a="1"/>
  <c r="BJ98" i="13" s="1"/>
  <c r="BJ51" i="13" a="1"/>
  <c r="BJ51" i="13" s="1"/>
  <c r="BI51" i="13"/>
  <c r="BM51" i="13" a="1"/>
  <c r="BM51" i="13" s="1"/>
  <c r="I103" i="13" a="1"/>
  <c r="I103" i="13" s="1"/>
  <c r="P108" i="13" a="1"/>
  <c r="P108" i="13" s="1"/>
  <c r="P103" i="13" a="1"/>
  <c r="P103" i="13" s="1"/>
  <c r="P99" i="13" a="1"/>
  <c r="P99" i="13" s="1"/>
  <c r="P109" i="13" a="1"/>
  <c r="P109" i="13" s="1"/>
  <c r="P104" i="13" a="1"/>
  <c r="P104" i="13" s="1"/>
  <c r="P107" i="13" a="1"/>
  <c r="P107" i="13" s="1"/>
  <c r="P102" i="13" a="1"/>
  <c r="P102" i="13" s="1"/>
  <c r="P98" i="13" a="1"/>
  <c r="P98" i="13" s="1"/>
  <c r="P110" i="13" a="1"/>
  <c r="P110" i="13" s="1"/>
  <c r="P106" i="13" a="1"/>
  <c r="P106" i="13" s="1"/>
  <c r="P101" i="13" a="1"/>
  <c r="P101" i="13" s="1"/>
  <c r="P100" i="13" a="1"/>
  <c r="P100" i="13" s="1"/>
  <c r="M107" i="13"/>
  <c r="M103" i="13"/>
  <c r="M99" i="13"/>
  <c r="M100" i="13"/>
  <c r="M110" i="13" a="1"/>
  <c r="M110" i="13" s="1"/>
  <c r="M106" i="13"/>
  <c r="M102" i="13"/>
  <c r="M98" i="13"/>
  <c r="M104" i="13"/>
  <c r="M109" i="13" a="1"/>
  <c r="M109" i="13" s="1"/>
  <c r="M105" i="13"/>
  <c r="M101" i="13"/>
  <c r="M108" i="13" a="1"/>
  <c r="M108" i="13" s="1"/>
  <c r="I56" i="13" a="1"/>
  <c r="I56" i="13" s="1"/>
  <c r="P61" i="13" a="1"/>
  <c r="P61" i="13" s="1"/>
  <c r="P56" i="13" a="1"/>
  <c r="P56" i="13" s="1"/>
  <c r="P52" i="13" a="1"/>
  <c r="P52" i="13" s="1"/>
  <c r="P57" i="13" a="1"/>
  <c r="P57" i="13" s="1"/>
  <c r="P60" i="13" a="1"/>
  <c r="P60" i="13" s="1"/>
  <c r="P55" i="13" a="1"/>
  <c r="P55" i="13" s="1"/>
  <c r="P51" i="13" a="1"/>
  <c r="P51" i="13" s="1"/>
  <c r="P62" i="13" a="1"/>
  <c r="P62" i="13" s="1"/>
  <c r="P63" i="13" a="1"/>
  <c r="P63" i="13" s="1"/>
  <c r="P59" i="13" a="1"/>
  <c r="P59" i="13" s="1"/>
  <c r="P54" i="13" a="1"/>
  <c r="P54" i="13" s="1"/>
  <c r="P53" i="13" a="1"/>
  <c r="P53" i="13" s="1"/>
  <c r="M61" i="13" a="1"/>
  <c r="M61" i="13" s="1"/>
  <c r="M57" i="13"/>
  <c r="M53" i="13"/>
  <c r="M58" i="13"/>
  <c r="M60" i="13"/>
  <c r="M56" i="13"/>
  <c r="M52" i="13"/>
  <c r="M54" i="13"/>
  <c r="M63" i="13" a="1"/>
  <c r="M63" i="13" s="1"/>
  <c r="M59" i="13"/>
  <c r="M55" i="13"/>
  <c r="M51" i="13"/>
  <c r="M62" i="13" a="1"/>
  <c r="M62" i="13" s="1"/>
  <c r="P105" i="13" a="1"/>
  <c r="P105" i="13" s="1"/>
  <c r="I100" i="13" a="1"/>
  <c r="I100" i="13" s="1"/>
  <c r="P58" i="13" a="1"/>
  <c r="P58" i="13" s="1"/>
  <c r="I53" i="13" a="1"/>
  <c r="I53" i="13" s="1"/>
  <c r="I58" i="13" a="1"/>
  <c r="I58" i="13" s="1"/>
  <c r="D61" i="13"/>
  <c r="D56" i="13"/>
  <c r="D52" i="13"/>
  <c r="D63" i="13"/>
  <c r="D53" i="13"/>
  <c r="D60" i="13"/>
  <c r="D55" i="13"/>
  <c r="D51" i="13"/>
  <c r="D58" i="13"/>
  <c r="D62" i="13"/>
  <c r="D54" i="13"/>
  <c r="D57" i="13"/>
  <c r="I105" i="13" a="1"/>
  <c r="I105" i="13" s="1"/>
  <c r="D108" i="13"/>
  <c r="D103" i="13"/>
  <c r="D99" i="13"/>
  <c r="D105" i="13"/>
  <c r="D100" i="13"/>
  <c r="D107" i="13"/>
  <c r="D102" i="13"/>
  <c r="D98" i="13"/>
  <c r="D110" i="13"/>
  <c r="D109" i="13"/>
  <c r="D101" i="13"/>
  <c r="D104" i="13"/>
  <c r="C109" i="13"/>
  <c r="C105" i="13"/>
  <c r="C101" i="13"/>
  <c r="C110" i="13"/>
  <c r="C98" i="13"/>
  <c r="C108" i="13"/>
  <c r="C104" i="13"/>
  <c r="C100" i="13"/>
  <c r="C106" i="13"/>
  <c r="C107" i="13"/>
  <c r="C103" i="13"/>
  <c r="C99" i="13"/>
  <c r="C102" i="13"/>
  <c r="C63" i="13"/>
  <c r="C59" i="13"/>
  <c r="C55" i="13"/>
  <c r="C51" i="13"/>
  <c r="C52" i="13"/>
  <c r="C62" i="13"/>
  <c r="C58" i="13"/>
  <c r="C54" i="13"/>
  <c r="C56" i="13"/>
  <c r="C61" i="13"/>
  <c r="C57" i="13"/>
  <c r="C53" i="13"/>
  <c r="C60" i="13"/>
  <c r="I59" i="13" a="1"/>
  <c r="I59" i="13" s="1"/>
  <c r="D59" i="13"/>
  <c r="I106" i="13" a="1"/>
  <c r="I106" i="13" s="1"/>
  <c r="D106" i="13"/>
  <c r="R110" i="13" a="1"/>
  <c r="R110" i="13" s="1"/>
  <c r="BL110" i="13" s="1"/>
  <c r="I99" i="13" a="1"/>
  <c r="I99" i="13" s="1"/>
  <c r="F107" i="13" a="1"/>
  <c r="F107" i="13" s="1"/>
  <c r="F103" i="13" a="1"/>
  <c r="F103" i="13" s="1"/>
  <c r="F99" i="13"/>
  <c r="F110" i="13" a="1"/>
  <c r="F110" i="13" s="1"/>
  <c r="F106" i="13" a="1"/>
  <c r="F106" i="13" s="1"/>
  <c r="F102" i="13" a="1"/>
  <c r="F102" i="13" s="1"/>
  <c r="F98" i="13" a="1"/>
  <c r="F98" i="13" s="1"/>
  <c r="F109" i="13" a="1"/>
  <c r="F109" i="13" s="1"/>
  <c r="F105" i="13" a="1"/>
  <c r="F105" i="13" s="1"/>
  <c r="F101" i="13" a="1"/>
  <c r="F101" i="13" s="1"/>
  <c r="F108" i="13" a="1"/>
  <c r="F108" i="13" s="1"/>
  <c r="F104" i="13" a="1"/>
  <c r="F104" i="13" s="1"/>
  <c r="F100" i="13" a="1"/>
  <c r="F100" i="13" s="1"/>
  <c r="R63" i="13" a="1"/>
  <c r="R63" i="13" s="1"/>
  <c r="BL63" i="13" s="1"/>
  <c r="I52" i="13" a="1"/>
  <c r="I52" i="13" s="1"/>
  <c r="F61" i="13" a="1"/>
  <c r="F61" i="13" s="1"/>
  <c r="F57" i="13" a="1"/>
  <c r="F57" i="13" s="1"/>
  <c r="F53" i="13" a="1"/>
  <c r="F53" i="13" s="1"/>
  <c r="F60" i="13" a="1"/>
  <c r="F60" i="13" s="1"/>
  <c r="F56" i="13" a="1"/>
  <c r="F56" i="13" s="1"/>
  <c r="F52" i="13"/>
  <c r="F63" i="13" a="1"/>
  <c r="F63" i="13" s="1"/>
  <c r="F59" i="13" a="1"/>
  <c r="F59" i="13" s="1"/>
  <c r="F55" i="13" a="1"/>
  <c r="F55" i="13" s="1"/>
  <c r="F51" i="13" a="1"/>
  <c r="F51" i="13" s="1"/>
  <c r="F62" i="13" a="1"/>
  <c r="F62" i="13" s="1"/>
  <c r="F58" i="13" a="1"/>
  <c r="F58" i="13" s="1"/>
  <c r="F54" i="13" a="1"/>
  <c r="F54" i="13" s="1"/>
  <c r="G48" i="13"/>
  <c r="O110" i="13" a="1"/>
  <c r="O110" i="13" s="1"/>
  <c r="K110" i="13"/>
  <c r="N110" i="13"/>
  <c r="I110" i="13" a="1"/>
  <c r="I110" i="13" s="1"/>
  <c r="E110" i="13"/>
  <c r="H110" i="13"/>
  <c r="G110" i="13"/>
  <c r="L110" i="13"/>
  <c r="L63" i="13"/>
  <c r="O63" i="13" a="1"/>
  <c r="O63" i="13" s="1"/>
  <c r="H63" i="13"/>
  <c r="N63" i="13"/>
  <c r="G63" i="13"/>
  <c r="I63" i="13" a="1"/>
  <c r="I63" i="13" s="1"/>
  <c r="K63" i="13"/>
  <c r="E63" i="13"/>
  <c r="L107" i="13"/>
  <c r="L103" i="13"/>
  <c r="L99" i="13"/>
  <c r="L100" i="13"/>
  <c r="L106" i="13"/>
  <c r="L102" i="13"/>
  <c r="L98" i="13"/>
  <c r="L109" i="13"/>
  <c r="L105" i="13" a="1"/>
  <c r="L105" i="13" s="1"/>
  <c r="L101" i="13"/>
  <c r="L108" i="13"/>
  <c r="L104" i="13"/>
  <c r="L60" i="13"/>
  <c r="L56" i="13"/>
  <c r="L52" i="13"/>
  <c r="L53" i="13"/>
  <c r="L59" i="13"/>
  <c r="L55" i="13"/>
  <c r="L51" i="13"/>
  <c r="L61" i="13"/>
  <c r="L62" i="13"/>
  <c r="L58" i="13" a="1"/>
  <c r="L58" i="13" s="1"/>
  <c r="L54" i="13"/>
  <c r="L57" i="13"/>
  <c r="O98" i="13" a="1"/>
  <c r="O98" i="13" s="1"/>
  <c r="O51" i="13" a="1"/>
  <c r="O51" i="13" s="1"/>
  <c r="I108" i="13" a="1"/>
  <c r="I108" i="13" s="1"/>
  <c r="I109" i="13" a="1"/>
  <c r="I109" i="13" s="1"/>
  <c r="I61" i="13" a="1"/>
  <c r="I61" i="13" s="1"/>
  <c r="I62" i="13" a="1"/>
  <c r="I62" i="13" s="1"/>
  <c r="I107" i="13" a="1"/>
  <c r="I107" i="13" s="1"/>
  <c r="I60" i="13" a="1"/>
  <c r="I60" i="13" s="1"/>
  <c r="I104" i="13" a="1"/>
  <c r="I104" i="13" s="1"/>
  <c r="I57" i="13" a="1"/>
  <c r="I57" i="13" s="1"/>
  <c r="I102" i="13" a="1"/>
  <c r="I102" i="13" s="1"/>
  <c r="I55" i="13" a="1"/>
  <c r="I55" i="13" s="1"/>
  <c r="I98" i="13" a="1"/>
  <c r="I98" i="13" s="1"/>
  <c r="I101" i="13" a="1"/>
  <c r="I101" i="13" s="1"/>
  <c r="I51" i="13" a="1"/>
  <c r="I51" i="13" s="1"/>
  <c r="I54" i="13" a="1"/>
  <c r="I54" i="13" s="1"/>
  <c r="O109" i="13" a="1"/>
  <c r="O109" i="13" s="1"/>
  <c r="O62" i="13" a="1"/>
  <c r="O62" i="13" s="1"/>
  <c r="O107" i="13" a="1"/>
  <c r="O107" i="13" s="1"/>
  <c r="O108" i="13" a="1"/>
  <c r="O108" i="13" s="1"/>
  <c r="O60" i="13" a="1"/>
  <c r="O60" i="13" s="1"/>
  <c r="O61" i="13" a="1"/>
  <c r="O61" i="13" s="1"/>
  <c r="O105" i="13" a="1"/>
  <c r="O105" i="13" s="1"/>
  <c r="O106" i="13" a="1"/>
  <c r="O106" i="13" s="1"/>
  <c r="O58" i="13" a="1"/>
  <c r="O58" i="13" s="1"/>
  <c r="O59" i="13" a="1"/>
  <c r="O59" i="13" s="1"/>
  <c r="O103" i="13" a="1"/>
  <c r="O103" i="13" s="1"/>
  <c r="O104" i="13" a="1"/>
  <c r="O104" i="13" s="1"/>
  <c r="O56" i="13" a="1"/>
  <c r="O56" i="13" s="1"/>
  <c r="O57" i="13" a="1"/>
  <c r="O57" i="13" s="1"/>
  <c r="O102" i="13" a="1"/>
  <c r="O102" i="13" s="1"/>
  <c r="O54" i="13" a="1"/>
  <c r="O54" i="13" s="1"/>
  <c r="O55" i="13" a="1"/>
  <c r="O55" i="13" s="1"/>
  <c r="O100" i="13" a="1"/>
  <c r="O100" i="13" s="1"/>
  <c r="O101" i="13" a="1"/>
  <c r="O101" i="13" s="1"/>
  <c r="O52" i="13" a="1"/>
  <c r="O52" i="13" s="1"/>
  <c r="O53" i="13" a="1"/>
  <c r="O53" i="13" s="1"/>
  <c r="O99" i="13" a="1"/>
  <c r="O99" i="13" s="1"/>
  <c r="E62" i="13"/>
  <c r="K53" i="13"/>
  <c r="R60" i="13" a="1"/>
  <c r="R60" i="13" s="1"/>
  <c r="BL60" i="13" s="1"/>
  <c r="R59" i="13" a="1"/>
  <c r="R59" i="13" s="1"/>
  <c r="BL59" i="13" s="1"/>
  <c r="E59" i="13"/>
  <c r="N61" i="13"/>
  <c r="R55" i="13"/>
  <c r="BL55" i="13" s="1"/>
  <c r="E58" i="13"/>
  <c r="K51" i="13"/>
  <c r="H54" i="13"/>
  <c r="K54" i="13"/>
  <c r="N53" i="13"/>
  <c r="E61" i="13"/>
  <c r="H55" i="13"/>
  <c r="E56" i="13"/>
  <c r="K61" i="13"/>
  <c r="E53" i="13"/>
  <c r="H51" i="13"/>
  <c r="E52" i="13"/>
  <c r="N52" i="13"/>
  <c r="H52" i="13"/>
  <c r="R56" i="13" a="1"/>
  <c r="R56" i="13" s="1"/>
  <c r="BL56" i="13" s="1"/>
  <c r="E57" i="13"/>
  <c r="R51" i="13"/>
  <c r="BL51" i="13" s="1"/>
  <c r="R62" i="13" a="1"/>
  <c r="R62" i="13" s="1"/>
  <c r="BL62" i="13" s="1"/>
  <c r="R52" i="13" a="1"/>
  <c r="R52" i="13" s="1"/>
  <c r="BL52" i="13" s="1"/>
  <c r="E60" i="13"/>
  <c r="N58" i="13"/>
  <c r="H58" i="13"/>
  <c r="H59" i="13"/>
  <c r="G57" i="13"/>
  <c r="N60" i="13"/>
  <c r="K57" i="13"/>
  <c r="H88" i="13" a="1"/>
  <c r="H88" i="13" s="1"/>
  <c r="AS51" i="13" s="1"/>
  <c r="H61" i="13"/>
  <c r="G60" i="13"/>
  <c r="N56" i="13"/>
  <c r="N55" i="13"/>
  <c r="G62" i="13"/>
  <c r="N51" i="13"/>
  <c r="N59" i="13"/>
  <c r="R58" i="13" a="1"/>
  <c r="R58" i="13" s="1"/>
  <c r="BL58" i="13" s="1"/>
  <c r="G53" i="13"/>
  <c r="H53" i="13"/>
  <c r="K52" i="13"/>
  <c r="H56" i="13"/>
  <c r="E54" i="13"/>
  <c r="G58" i="13"/>
  <c r="G56" i="13"/>
  <c r="N54" i="13"/>
  <c r="N57" i="13"/>
  <c r="E51" i="13"/>
  <c r="R53" i="13"/>
  <c r="BL53" i="13" s="1"/>
  <c r="E55" i="13"/>
  <c r="G52" i="13"/>
  <c r="K58" i="13"/>
  <c r="G59" i="13"/>
  <c r="K55" i="13"/>
  <c r="N62" i="13"/>
  <c r="H62" i="13"/>
  <c r="K60" i="13"/>
  <c r="G51" i="13"/>
  <c r="H60" i="13"/>
  <c r="G61" i="13"/>
  <c r="R57" i="13" a="1"/>
  <c r="R57" i="13" s="1"/>
  <c r="BL57" i="13" s="1"/>
  <c r="R54" i="13" a="1"/>
  <c r="R54" i="13" s="1"/>
  <c r="BL54" i="13" s="1"/>
  <c r="R61" i="13" a="1"/>
  <c r="R61" i="13" s="1"/>
  <c r="BL61" i="13" s="1"/>
  <c r="G54" i="13"/>
  <c r="G55" i="13"/>
  <c r="K56" i="13"/>
  <c r="K59" i="13"/>
  <c r="K62" i="13"/>
  <c r="H57" i="13"/>
  <c r="R108" i="13" a="1"/>
  <c r="R108" i="13" s="1"/>
  <c r="BL108" i="13" s="1"/>
  <c r="G101" i="13"/>
  <c r="N109" i="13"/>
  <c r="E103" i="13"/>
  <c r="R106" i="13" a="1"/>
  <c r="R106" i="13" s="1"/>
  <c r="BL106" i="13" s="1"/>
  <c r="N99" i="13"/>
  <c r="H104" i="13"/>
  <c r="H135" i="13" a="1"/>
  <c r="H135" i="13" s="1"/>
  <c r="AS98" i="13" s="1"/>
  <c r="N104" i="13"/>
  <c r="G106" i="13"/>
  <c r="K109" i="13"/>
  <c r="G104" i="13"/>
  <c r="R101" i="13" a="1"/>
  <c r="R101" i="13" s="1"/>
  <c r="BL101" i="13" s="1"/>
  <c r="K107" i="13"/>
  <c r="G109" i="13"/>
  <c r="N102" i="13"/>
  <c r="R104" i="13" a="1"/>
  <c r="R104" i="13" s="1"/>
  <c r="BL104" i="13" s="1"/>
  <c r="K102" i="13"/>
  <c r="K101" i="13"/>
  <c r="G99" i="13"/>
  <c r="H100" i="13"/>
  <c r="E101" i="13"/>
  <c r="H98" i="13"/>
  <c r="H99" i="13"/>
  <c r="K105" i="13"/>
  <c r="N108" i="13"/>
  <c r="K100" i="13"/>
  <c r="E106" i="13"/>
  <c r="N105" i="13"/>
  <c r="E100" i="13"/>
  <c r="H102" i="13"/>
  <c r="E105" i="13"/>
  <c r="E102" i="13"/>
  <c r="H103" i="13"/>
  <c r="G102" i="13"/>
  <c r="N103" i="13"/>
  <c r="G107" i="13"/>
  <c r="E109" i="13"/>
  <c r="G103" i="13"/>
  <c r="E98" i="13"/>
  <c r="E108" i="13"/>
  <c r="N98" i="13"/>
  <c r="R102" i="13"/>
  <c r="BL102" i="13" s="1"/>
  <c r="R107" i="13" a="1"/>
  <c r="R107" i="13" s="1"/>
  <c r="BL107" i="13" s="1"/>
  <c r="R103" i="13" a="1"/>
  <c r="R103" i="13" s="1"/>
  <c r="BL103" i="13" s="1"/>
  <c r="N107" i="13"/>
  <c r="K98" i="13"/>
  <c r="K108" i="13"/>
  <c r="K99" i="13"/>
  <c r="K104" i="13"/>
  <c r="E107" i="13"/>
  <c r="H109" i="13"/>
  <c r="H107" i="13"/>
  <c r="E104" i="13"/>
  <c r="H106" i="13"/>
  <c r="G100" i="13"/>
  <c r="R109" i="13" a="1"/>
  <c r="R109" i="13" s="1"/>
  <c r="BL109" i="13" s="1"/>
  <c r="H101" i="13"/>
  <c r="R100" i="13"/>
  <c r="BL100" i="13" s="1"/>
  <c r="N100" i="13"/>
  <c r="H108" i="13"/>
  <c r="H105" i="13"/>
  <c r="E99" i="13"/>
  <c r="R105" i="13" a="1"/>
  <c r="R105" i="13" s="1"/>
  <c r="BL105" i="13" s="1"/>
  <c r="N101" i="13"/>
  <c r="R99" i="13" a="1"/>
  <c r="R99" i="13" s="1"/>
  <c r="BL99" i="13" s="1"/>
  <c r="G105" i="13"/>
  <c r="K106" i="13"/>
  <c r="G108" i="13"/>
  <c r="G98" i="13"/>
  <c r="R98" i="13"/>
  <c r="BL98" i="13" s="1"/>
  <c r="N106" i="13"/>
  <c r="K103" i="13"/>
  <c r="E4" i="14"/>
  <c r="U70" i="13" l="1" a="1"/>
  <c r="U70" i="13" s="1"/>
  <c r="W51" i="13"/>
  <c r="BH62" i="13"/>
  <c r="BH63" i="13"/>
  <c r="BH60" i="13"/>
  <c r="BH61" i="13"/>
  <c r="BH58" i="13"/>
  <c r="BH59" i="13"/>
  <c r="BH56" i="13"/>
  <c r="BH57" i="13"/>
  <c r="BH54" i="13"/>
  <c r="BH55" i="13"/>
  <c r="BH52" i="13"/>
  <c r="BH53" i="13"/>
  <c r="BH51" i="13"/>
  <c r="G95" i="13"/>
  <c r="W98" i="13" s="1"/>
  <c r="J110" i="13"/>
  <c r="J63" i="13"/>
  <c r="J98" i="13"/>
  <c r="J51" i="13"/>
  <c r="BK51" i="13" s="1"/>
  <c r="I66" i="13"/>
  <c r="I113" i="13"/>
  <c r="J52" i="13"/>
  <c r="J55" i="13"/>
  <c r="O66" i="13"/>
  <c r="H75" i="13" s="1"/>
  <c r="J54" i="13"/>
  <c r="BK54" i="13" s="1"/>
  <c r="J53" i="13"/>
  <c r="J62" i="13"/>
  <c r="M66" i="13"/>
  <c r="H72" i="13" s="1"/>
  <c r="F66" i="13"/>
  <c r="N66" i="13"/>
  <c r="H73" i="13" s="1"/>
  <c r="J60" i="13"/>
  <c r="BK60" i="13" s="1"/>
  <c r="P66" i="13"/>
  <c r="J57" i="13"/>
  <c r="J61" i="13"/>
  <c r="BK61" i="13" s="1"/>
  <c r="E66" i="13"/>
  <c r="D85" i="13" s="1"/>
  <c r="J56" i="13"/>
  <c r="BK56" i="13" s="1"/>
  <c r="K66" i="13"/>
  <c r="D74" i="13" s="1"/>
  <c r="AD51" i="13" s="1"/>
  <c r="L66" i="13"/>
  <c r="J59" i="13"/>
  <c r="BK59" i="13" s="1"/>
  <c r="C66" i="13"/>
  <c r="H66" i="13"/>
  <c r="R66" i="13"/>
  <c r="G66" i="13"/>
  <c r="D73" i="13" s="1"/>
  <c r="AF51" i="13" s="1"/>
  <c r="D66" i="13"/>
  <c r="J58" i="13"/>
  <c r="BK58" i="13" s="1"/>
  <c r="C113" i="13"/>
  <c r="J107" i="13"/>
  <c r="BK107" i="13" s="1"/>
  <c r="J103" i="13"/>
  <c r="G113" i="13"/>
  <c r="D120" i="13" s="1"/>
  <c r="AF98" i="13" s="1"/>
  <c r="J105" i="13"/>
  <c r="BK105" i="13" s="1"/>
  <c r="M113" i="13"/>
  <c r="H119" i="13" s="1"/>
  <c r="J100" i="13"/>
  <c r="N113" i="13"/>
  <c r="H120" i="13" s="1"/>
  <c r="F113" i="13"/>
  <c r="R113" i="13"/>
  <c r="O113" i="13"/>
  <c r="H122" i="13" s="1"/>
  <c r="P113" i="13"/>
  <c r="J108" i="13"/>
  <c r="BK108" i="13" s="1"/>
  <c r="J99" i="13"/>
  <c r="L113" i="13"/>
  <c r="J106" i="13"/>
  <c r="BK106" i="13" s="1"/>
  <c r="J102" i="13"/>
  <c r="K113" i="13"/>
  <c r="D121" i="13" s="1"/>
  <c r="AD98" i="13" s="1"/>
  <c r="J109" i="13"/>
  <c r="BK109" i="13" s="1"/>
  <c r="J104" i="13"/>
  <c r="BK104" i="13" s="1"/>
  <c r="D113" i="13"/>
  <c r="E113" i="13"/>
  <c r="D132" i="13" s="1"/>
  <c r="J101" i="13"/>
  <c r="H113" i="13"/>
  <c r="E5" i="14"/>
  <c r="AO51" i="13" l="1"/>
  <c r="AM51" i="13"/>
  <c r="AP51" i="13"/>
  <c r="AM98" i="13"/>
  <c r="AP98" i="13"/>
  <c r="AO98" i="13"/>
  <c r="U117" i="13" a="1"/>
  <c r="U117" i="13" s="1"/>
  <c r="M127" i="13"/>
  <c r="BB98" i="13" s="1"/>
  <c r="BD98" i="13" s="1"/>
  <c r="AD117" i="13"/>
  <c r="M80" i="13"/>
  <c r="BB51" i="13" s="1"/>
  <c r="BD51" i="13" s="1"/>
  <c r="AD70" i="13"/>
  <c r="BH109" i="13"/>
  <c r="BH110" i="13"/>
  <c r="Q110" i="13"/>
  <c r="BK110" i="13"/>
  <c r="Q63" i="13"/>
  <c r="BK63" i="13"/>
  <c r="Q62" i="13"/>
  <c r="BK62" i="13"/>
  <c r="BH107" i="13"/>
  <c r="BH108" i="13"/>
  <c r="BH105" i="13"/>
  <c r="BH106" i="13"/>
  <c r="BH103" i="13"/>
  <c r="BH104" i="13"/>
  <c r="Q57" i="13"/>
  <c r="BK57" i="13"/>
  <c r="S103" i="13" a="1"/>
  <c r="S103" i="13" s="1"/>
  <c r="BK103" i="13"/>
  <c r="BH101" i="13"/>
  <c r="BH102" i="13"/>
  <c r="S102" i="13" a="1"/>
  <c r="S102" i="13" s="1"/>
  <c r="BK102" i="13"/>
  <c r="S55" i="13" a="1"/>
  <c r="S55" i="13" s="1"/>
  <c r="BK55" i="13"/>
  <c r="S101" i="13" a="1"/>
  <c r="S101" i="13" s="1"/>
  <c r="BK101" i="13"/>
  <c r="BH99" i="13"/>
  <c r="BH100" i="13"/>
  <c r="S53" i="13" a="1"/>
  <c r="S53" i="13" s="1"/>
  <c r="BK53" i="13"/>
  <c r="S100" i="13" a="1"/>
  <c r="S100" i="13" s="1"/>
  <c r="BK100" i="13"/>
  <c r="S99" i="13" a="1"/>
  <c r="S99" i="13" s="1"/>
  <c r="BK99" i="13"/>
  <c r="S52" i="13" a="1"/>
  <c r="S52" i="13" s="1"/>
  <c r="BK52" i="13"/>
  <c r="BH98" i="13"/>
  <c r="S98" i="13" a="1"/>
  <c r="S98" i="13" s="1"/>
  <c r="BK98" i="13"/>
  <c r="H87" i="13"/>
  <c r="H133" i="13"/>
  <c r="H134" i="13"/>
  <c r="H86" i="13"/>
  <c r="H118" i="13"/>
  <c r="H71" i="13"/>
  <c r="S110" i="13" a="1"/>
  <c r="S110" i="13" s="1"/>
  <c r="S63" i="13" a="1"/>
  <c r="S63" i="13" s="1"/>
  <c r="S109" i="13" a="1"/>
  <c r="S109" i="13" s="1"/>
  <c r="Q109" i="13"/>
  <c r="S108" i="13" a="1"/>
  <c r="S108" i="13" s="1"/>
  <c r="Q108" i="13"/>
  <c r="S61" i="13" a="1"/>
  <c r="S61" i="13" s="1"/>
  <c r="Q61" i="13"/>
  <c r="S60" i="13" a="1"/>
  <c r="S60" i="13" s="1"/>
  <c r="Q60" i="13"/>
  <c r="S107" i="13" a="1"/>
  <c r="S107" i="13" s="1"/>
  <c r="Q107" i="13"/>
  <c r="S106" i="13" a="1"/>
  <c r="S106" i="13" s="1"/>
  <c r="Q106" i="13"/>
  <c r="S59" i="13" a="1"/>
  <c r="S59" i="13" s="1"/>
  <c r="Q59" i="13"/>
  <c r="S105" i="13" a="1"/>
  <c r="S105" i="13" s="1"/>
  <c r="Q105" i="13"/>
  <c r="S58" i="13" a="1"/>
  <c r="S58" i="13" s="1"/>
  <c r="Q58" i="13"/>
  <c r="S104" i="13" a="1"/>
  <c r="S104" i="13" s="1"/>
  <c r="Q104" i="13"/>
  <c r="S62" i="13" a="1"/>
  <c r="S62" i="13" s="1"/>
  <c r="S57" i="13" a="1"/>
  <c r="S57" i="13" s="1"/>
  <c r="Q56" i="13"/>
  <c r="S56" i="13" a="1"/>
  <c r="S56" i="13" s="1"/>
  <c r="Q54" i="13"/>
  <c r="S54" i="13" a="1"/>
  <c r="S54" i="13" s="1"/>
  <c r="Q51" i="13"/>
  <c r="S51" i="13" a="1"/>
  <c r="S51" i="13" s="1"/>
  <c r="Q52" i="13"/>
  <c r="Q55" i="13"/>
  <c r="Q53" i="13"/>
  <c r="C87" i="13"/>
  <c r="D89" i="13" s="1"/>
  <c r="J66" i="13"/>
  <c r="D70" i="13" s="1"/>
  <c r="Y51" i="13" s="1"/>
  <c r="AB51" i="13" s="1"/>
  <c r="AG51" i="13" s="1"/>
  <c r="AJ51" i="13" s="1"/>
  <c r="D86" i="13"/>
  <c r="Q100" i="13"/>
  <c r="Q102" i="13"/>
  <c r="Q99" i="13"/>
  <c r="Q98" i="13"/>
  <c r="J113" i="13"/>
  <c r="D117" i="13" s="1"/>
  <c r="Y98" i="13" s="1"/>
  <c r="AB98" i="13" s="1"/>
  <c r="AG98" i="13" s="1"/>
  <c r="AJ98" i="13" s="1"/>
  <c r="E6" i="14"/>
  <c r="Q103" i="13"/>
  <c r="Q101" i="13"/>
  <c r="C134" i="13"/>
  <c r="D136" i="13" s="1"/>
  <c r="D133" i="13"/>
  <c r="E7" i="14"/>
  <c r="AN98" i="13" l="1"/>
  <c r="AN51" i="13"/>
  <c r="M72" i="13"/>
  <c r="M119" i="13"/>
  <c r="Q66" i="13"/>
  <c r="H82" i="13"/>
  <c r="AK51" i="13" s="1"/>
  <c r="AL51" i="13" s="1" a="1"/>
  <c r="AL51" i="13" s="1"/>
  <c r="Q113" i="13"/>
  <c r="H129" i="13"/>
  <c r="AK98" i="13" s="1"/>
  <c r="AL98" i="13" s="1" a="1"/>
  <c r="AL98" i="13" s="1"/>
  <c r="AU98" i="13" s="1"/>
  <c r="AV98" i="13" s="1"/>
  <c r="E8" i="14"/>
  <c r="AU51" i="13" l="1"/>
  <c r="AV51" i="13" s="1"/>
  <c r="H92" i="13"/>
  <c r="H83" i="13"/>
  <c r="D127" i="13"/>
  <c r="D128" i="13" s="1"/>
  <c r="D80" i="13"/>
  <c r="D81" i="13" s="1"/>
  <c r="H139" i="13"/>
  <c r="H130" i="13"/>
  <c r="E9" i="14"/>
  <c r="M70" i="13" l="1"/>
  <c r="M71" i="13" s="1"/>
  <c r="M117" i="13"/>
  <c r="E10" i="14"/>
  <c r="M118" i="13" l="1"/>
  <c r="BF98" i="13"/>
  <c r="BF51" i="13"/>
  <c r="M121" i="13"/>
  <c r="AW98" i="13" s="1"/>
  <c r="M74" i="13"/>
  <c r="AW51" i="13" s="1"/>
  <c r="E11" i="14"/>
  <c r="V98" i="13" l="1"/>
  <c r="V51" i="13"/>
  <c r="M123" i="13"/>
  <c r="AX98" i="13" s="1"/>
  <c r="M76" i="13"/>
  <c r="AX51" i="13" s="1"/>
  <c r="E12" i="14"/>
  <c r="I94" i="13"/>
  <c r="I47" i="13"/>
  <c r="M124" i="13" l="1"/>
  <c r="M125" i="13" s="1"/>
  <c r="AY98" i="13" s="1"/>
  <c r="BA98" i="13" s="1"/>
  <c r="BE98" i="13" s="1"/>
  <c r="M77" i="13"/>
  <c r="M78" i="13" s="1"/>
  <c r="AY51" i="13" s="1"/>
  <c r="BA51" i="13" s="1"/>
  <c r="BE51" i="13" s="1"/>
  <c r="E13" i="14"/>
  <c r="M79" i="13" l="1"/>
  <c r="AC70" i="13" s="1"/>
  <c r="M126" i="13"/>
  <c r="AC117" i="13" s="1"/>
  <c r="E14" i="14"/>
  <c r="M84" i="13" l="1"/>
  <c r="M131" i="13"/>
  <c r="E15" i="14"/>
  <c r="E16" i="14" l="1"/>
  <c r="E17" i="14" l="1"/>
  <c r="E18" i="14" l="1"/>
  <c r="E19" i="14" l="1"/>
  <c r="E20" i="14" l="1"/>
  <c r="E21" i="14" l="1"/>
  <c r="E22" i="14" l="1"/>
  <c r="E23" i="14" l="1"/>
  <c r="E24" i="14" l="1"/>
  <c r="E25" i="14" l="1"/>
  <c r="E26" i="14" l="1"/>
  <c r="E27" i="14" l="1"/>
  <c r="E28" i="14" l="1"/>
  <c r="E29" i="14" l="1"/>
  <c r="E30" i="14" l="1"/>
  <c r="E31" i="14" l="1"/>
  <c r="E32" i="14" l="1"/>
  <c r="E33" i="14" l="1"/>
  <c r="E34" i="14" l="1"/>
  <c r="E35" i="14" l="1"/>
  <c r="E36" i="14" l="1"/>
  <c r="E37" i="14" l="1"/>
  <c r="E38" i="14" l="1"/>
  <c r="E39" i="14" l="1"/>
  <c r="E40" i="14" l="1"/>
  <c r="E41" i="14" l="1"/>
  <c r="E42" i="14" l="1"/>
  <c r="E43" i="14" l="1"/>
  <c r="E44" i="14" l="1"/>
  <c r="E45" i="14" l="1"/>
  <c r="E46" i="14" l="1"/>
  <c r="E47" i="14" l="1"/>
  <c r="E48" i="14" l="1"/>
  <c r="E49" i="14" l="1"/>
  <c r="E50" i="14" l="1"/>
  <c r="E51" i="14" l="1"/>
  <c r="E52" i="14" l="1"/>
  <c r="E53" i="14" l="1"/>
  <c r="E54" i="14" l="1"/>
  <c r="E55" i="14" l="1"/>
  <c r="E56" i="14" l="1"/>
  <c r="E57" i="14" l="1"/>
  <c r="E58" i="14" l="1"/>
  <c r="E59" i="14" l="1"/>
  <c r="E60" i="14" l="1"/>
  <c r="E61" i="14" l="1"/>
  <c r="E62" i="14" l="1"/>
  <c r="E63" i="14" l="1"/>
  <c r="E64" i="14" l="1"/>
  <c r="E65" i="14" l="1"/>
  <c r="E66" i="14" l="1"/>
  <c r="E67" i="14" l="1"/>
  <c r="E68" i="14" l="1"/>
  <c r="E69" i="14" l="1"/>
  <c r="E70" i="14" l="1"/>
  <c r="E71" i="14" l="1"/>
  <c r="E72" i="14" l="1"/>
  <c r="E73" i="14" l="1"/>
  <c r="E74" i="14" l="1"/>
  <c r="E75" i="14" l="1"/>
  <c r="E76" i="14" l="1"/>
  <c r="E77" i="14" l="1"/>
  <c r="E78" i="14" l="1"/>
  <c r="E79" i="14" l="1"/>
  <c r="E80" i="14" l="1"/>
  <c r="E81" i="14" l="1"/>
  <c r="E82" i="14" l="1"/>
  <c r="E83" i="14" l="1"/>
  <c r="E84" i="14" l="1"/>
  <c r="E85" i="14" l="1"/>
  <c r="E86" i="14" l="1"/>
  <c r="E87" i="14" l="1"/>
  <c r="E88" i="14" l="1"/>
  <c r="E89" i="14" l="1"/>
  <c r="E90" i="14" l="1"/>
  <c r="E91" i="14" l="1"/>
  <c r="E92" i="14" l="1"/>
  <c r="E93" i="14" l="1"/>
  <c r="E94" i="14" l="1"/>
  <c r="E95" i="14" l="1"/>
  <c r="E96" i="14" l="1"/>
  <c r="E97" i="14" l="1"/>
  <c r="E98" i="14" l="1"/>
  <c r="E99" i="14" l="1"/>
  <c r="E100" i="14" l="1"/>
  <c r="E101" i="14" l="1"/>
  <c r="E102" i="14" l="1"/>
  <c r="E103" i="14" l="1"/>
  <c r="E104" i="14" l="1"/>
  <c r="E105" i="14" l="1"/>
  <c r="E106" i="14" l="1"/>
  <c r="E107" i="14" l="1"/>
  <c r="E108" i="14" l="1"/>
  <c r="E109" i="14" l="1"/>
  <c r="E110" i="14" l="1"/>
  <c r="E111" i="14" l="1"/>
  <c r="E112" i="14" l="1"/>
  <c r="E113" i="14" l="1"/>
  <c r="E114" i="14" l="1"/>
  <c r="E115" i="14" l="1"/>
  <c r="E116" i="14" l="1"/>
  <c r="E117" i="14" l="1"/>
  <c r="E118" i="14" l="1"/>
  <c r="E119" i="14" l="1"/>
  <c r="E120" i="14" l="1"/>
  <c r="E121" i="14" l="1"/>
  <c r="E122" i="14" l="1"/>
  <c r="E123" i="14" l="1"/>
  <c r="E124" i="14" l="1"/>
  <c r="E125" i="14" l="1"/>
  <c r="E126" i="14" l="1"/>
  <c r="E127" i="14" l="1"/>
  <c r="E128" i="14" l="1"/>
  <c r="E129" i="14" l="1"/>
  <c r="E130" i="14" l="1"/>
  <c r="E131" i="14" l="1"/>
  <c r="E132" i="14" l="1"/>
  <c r="E133" i="14" l="1"/>
  <c r="E134" i="14" l="1"/>
  <c r="E135" i="14" l="1"/>
  <c r="E136" i="14" l="1"/>
  <c r="E137" i="14" l="1"/>
  <c r="E138" i="14" l="1"/>
  <c r="E139" i="14" l="1"/>
  <c r="E140" i="14" l="1"/>
  <c r="E141" i="14" l="1"/>
  <c r="E142" i="14" l="1"/>
  <c r="E143" i="14" l="1"/>
  <c r="E144" i="14" l="1"/>
  <c r="E145" i="14" l="1"/>
  <c r="E146" i="14" l="1"/>
  <c r="E147" i="14" l="1"/>
  <c r="E148" i="14" l="1"/>
  <c r="E149" i="14"/>
  <c r="E150" i="14" l="1"/>
  <c r="E151" i="14" l="1"/>
  <c r="E152" i="14" l="1"/>
  <c r="E153" i="14" l="1"/>
  <c r="E154" i="14" l="1"/>
  <c r="E155" i="14" l="1"/>
  <c r="E156" i="14"/>
  <c r="E157" i="14" l="1"/>
  <c r="E158" i="14" l="1"/>
  <c r="E159" i="14" l="1"/>
  <c r="E160" i="14" l="1"/>
  <c r="E161" i="14" l="1"/>
  <c r="E162" i="14" l="1"/>
  <c r="E163" i="14" l="1"/>
  <c r="E164" i="14" l="1"/>
  <c r="E165" i="14" l="1"/>
  <c r="E166" i="14" l="1"/>
  <c r="E167" i="14" l="1"/>
  <c r="E168" i="14" l="1"/>
  <c r="E169" i="14" l="1"/>
  <c r="E170" i="14" l="1"/>
  <c r="E171" i="14" l="1"/>
  <c r="E172" i="14" l="1"/>
  <c r="E173" i="14" l="1"/>
  <c r="E174" i="14" l="1"/>
  <c r="E175" i="14" l="1"/>
  <c r="E176" i="14" l="1"/>
  <c r="E177" i="14" l="1"/>
  <c r="E178" i="14" l="1"/>
  <c r="E179" i="14" l="1"/>
  <c r="E180" i="14" l="1"/>
  <c r="E181" i="14" l="1"/>
  <c r="E182" i="14" l="1"/>
  <c r="E183" i="14" l="1"/>
  <c r="E184" i="14" l="1"/>
  <c r="E185" i="14" l="1"/>
  <c r="E187" i="14" l="1"/>
  <c r="E186" i="14" l="1"/>
  <c r="E188" i="14" l="1"/>
  <c r="E189" i="14"/>
  <c r="E190" i="14" l="1"/>
  <c r="E191" i="14" l="1"/>
  <c r="E192" i="14" l="1"/>
  <c r="E193" i="14" l="1"/>
  <c r="E194" i="14" l="1"/>
  <c r="E195" i="14" l="1"/>
  <c r="E196" i="14" l="1"/>
  <c r="E197" i="14" l="1"/>
  <c r="E198" i="14" l="1"/>
  <c r="E199" i="14" l="1"/>
  <c r="E200" i="14" l="1"/>
  <c r="E201" i="14" l="1"/>
  <c r="E202" i="14" l="1"/>
  <c r="E203" i="14" l="1"/>
  <c r="E204" i="14" l="1"/>
  <c r="E205" i="14" l="1"/>
  <c r="E206" i="14" l="1"/>
  <c r="E207" i="14" l="1"/>
  <c r="E208" i="14" l="1"/>
  <c r="E209" i="14" l="1"/>
  <c r="E210" i="14" l="1"/>
  <c r="E211" i="14" l="1"/>
  <c r="E212" i="14" l="1"/>
  <c r="E213" i="14" l="1"/>
  <c r="E214" i="14" l="1"/>
  <c r="E215" i="14" l="1"/>
  <c r="E216" i="14" l="1"/>
  <c r="E217" i="14" l="1"/>
  <c r="E218" i="14" l="1"/>
  <c r="E219" i="14" l="1"/>
  <c r="E220" i="14" l="1"/>
  <c r="E221" i="14" l="1"/>
  <c r="E222" i="14" l="1"/>
  <c r="E223" i="14" l="1"/>
  <c r="E224" i="14" l="1"/>
  <c r="E225" i="14" l="1"/>
  <c r="E226" i="14" l="1"/>
  <c r="E227" i="14" l="1"/>
  <c r="E228" i="14" l="1"/>
  <c r="E229" i="14" l="1"/>
  <c r="E230" i="14" l="1"/>
  <c r="E231" i="14" l="1"/>
  <c r="E232" i="14" l="1"/>
  <c r="E233" i="14" l="1"/>
  <c r="E234" i="14" l="1"/>
  <c r="E235" i="14" l="1"/>
  <c r="E236" i="14" l="1"/>
  <c r="E237" i="14" l="1"/>
  <c r="E238" i="14" l="1"/>
  <c r="E239" i="14" l="1"/>
  <c r="E240" i="14" l="1"/>
  <c r="E241" i="14" l="1"/>
  <c r="E242" i="14" l="1"/>
  <c r="E243" i="14" l="1"/>
  <c r="E244" i="14" l="1"/>
  <c r="E245" i="14" l="1"/>
  <c r="E246" i="14" l="1"/>
  <c r="E247" i="14" l="1"/>
  <c r="E248" i="14" l="1"/>
  <c r="E249" i="14" l="1"/>
  <c r="E250" i="14" l="1"/>
  <c r="E251" i="14" l="1"/>
  <c r="E252" i="14" l="1"/>
  <c r="E253" i="14" l="1"/>
  <c r="E254" i="14" l="1"/>
  <c r="E255" i="14" l="1"/>
  <c r="E256" i="14" l="1"/>
  <c r="E257" i="14" l="1"/>
  <c r="E258" i="14" l="1"/>
  <c r="E259" i="14" l="1"/>
  <c r="E260" i="14" l="1"/>
  <c r="E261" i="14" l="1"/>
  <c r="E262" i="14" l="1"/>
  <c r="E263" i="14" l="1"/>
  <c r="E264" i="14" l="1"/>
  <c r="E265" i="14" l="1"/>
  <c r="E266" i="14" l="1"/>
  <c r="E267" i="14" l="1"/>
  <c r="E268" i="14" l="1"/>
  <c r="E269" i="14" l="1"/>
  <c r="E270" i="14" l="1"/>
  <c r="E271" i="14" l="1"/>
  <c r="E272" i="14" l="1"/>
  <c r="E273" i="14" l="1"/>
  <c r="E274" i="14" l="1"/>
  <c r="E275" i="14" l="1"/>
  <c r="E276" i="14" l="1"/>
  <c r="E277" i="14" l="1"/>
  <c r="E278" i="14" l="1"/>
  <c r="E279" i="14" l="1"/>
  <c r="E280" i="14" l="1"/>
  <c r="E281" i="14" l="1"/>
  <c r="E282" i="14" l="1"/>
  <c r="E283" i="14" l="1"/>
  <c r="E284" i="14" l="1"/>
  <c r="E285" i="14" l="1"/>
  <c r="E286" i="14" l="1"/>
  <c r="E287" i="14" l="1"/>
  <c r="E288" i="14" l="1"/>
  <c r="E289" i="14" l="1"/>
  <c r="E290" i="14" l="1"/>
  <c r="E291" i="14" l="1"/>
  <c r="E292" i="14" l="1"/>
  <c r="E293" i="14" l="1"/>
  <c r="E294" i="14" l="1"/>
  <c r="E295" i="14" l="1"/>
  <c r="E296" i="14" l="1"/>
  <c r="E297" i="14" l="1"/>
  <c r="E298" i="14" l="1"/>
  <c r="E299" i="14" l="1"/>
  <c r="E300" i="14" l="1"/>
  <c r="E13" i="13" l="1"/>
  <c r="G11" i="13"/>
  <c r="G9" i="13"/>
  <c r="H7" i="13"/>
  <c r="E14" i="13"/>
  <c r="E7" i="13"/>
  <c r="E12" i="13"/>
  <c r="G5" i="13"/>
  <c r="N12" i="13"/>
  <c r="N8" i="13"/>
  <c r="E11" i="13"/>
  <c r="H14" i="13"/>
  <c r="H10" i="13"/>
  <c r="G14" i="13"/>
  <c r="H12" i="13"/>
  <c r="E9" i="13"/>
  <c r="G7" i="13"/>
  <c r="N11" i="13"/>
  <c r="N7" i="13"/>
  <c r="G12" i="13"/>
  <c r="N14" i="13"/>
  <c r="N10" i="13"/>
  <c r="N6" i="13"/>
  <c r="K6" i="13"/>
  <c r="H8" i="13"/>
  <c r="E5" i="13"/>
  <c r="N9" i="13"/>
  <c r="G10" i="13"/>
  <c r="H13" i="13"/>
  <c r="E10" i="13"/>
  <c r="G8" i="13"/>
  <c r="K5" i="13"/>
  <c r="H11" i="13"/>
  <c r="G13" i="13"/>
  <c r="H6" i="13"/>
  <c r="N13" i="13"/>
  <c r="G6" i="13"/>
  <c r="E8" i="13"/>
  <c r="H20" i="13" l="1"/>
  <c r="J5" i="13"/>
  <c r="BK5" i="13" s="1"/>
  <c r="J6" i="13"/>
  <c r="BK6" i="13" s="1"/>
  <c r="J14" i="13"/>
  <c r="BK14" i="13" s="1"/>
  <c r="J15" i="13"/>
  <c r="BK15" i="13" s="1"/>
  <c r="J11" i="13"/>
  <c r="BK11" i="13" s="1"/>
  <c r="J8" i="13"/>
  <c r="BK8" i="13" s="1"/>
  <c r="J9" i="13"/>
  <c r="BK9" i="13" s="1"/>
  <c r="D32" i="13"/>
  <c r="AH5" i="13" s="1"/>
  <c r="AB24" i="13"/>
  <c r="R20" i="13"/>
  <c r="O20" i="13"/>
  <c r="H29" i="13" s="1"/>
  <c r="K20" i="13"/>
  <c r="D28" i="13" s="1"/>
  <c r="AD5" i="13" s="1"/>
  <c r="G20" i="13"/>
  <c r="D27" i="13" s="1"/>
  <c r="AF5" i="13" s="1"/>
  <c r="C20" i="13"/>
  <c r="Q19" i="13"/>
  <c r="Q18" i="13"/>
  <c r="J17" i="13"/>
  <c r="BK17" i="13" s="1"/>
  <c r="N20" i="13"/>
  <c r="H27" i="13" s="1"/>
  <c r="M20" i="13"/>
  <c r="H26" i="13" s="1"/>
  <c r="F20" i="13"/>
  <c r="E20" i="13"/>
  <c r="D39" i="13" s="1"/>
  <c r="J13" i="13"/>
  <c r="BK13" i="13" s="1"/>
  <c r="J12" i="13"/>
  <c r="BK12" i="13" s="1"/>
  <c r="J10" i="13"/>
  <c r="BK10" i="13" s="1"/>
  <c r="J7" i="13"/>
  <c r="BK7" i="13" s="1"/>
  <c r="S9" i="13" l="1" a="1"/>
  <c r="S9" i="13" s="1"/>
  <c r="S8" i="13" a="1"/>
  <c r="S8" i="13" s="1"/>
  <c r="S6" i="13" a="1"/>
  <c r="S6" i="13" s="1"/>
  <c r="S7" i="13" a="1"/>
  <c r="S7" i="13" s="1"/>
  <c r="S10" i="13" a="1"/>
  <c r="S10" i="13" s="1"/>
  <c r="S15" i="13" a="1"/>
  <c r="S15" i="13" s="1"/>
  <c r="S5" i="13" a="1"/>
  <c r="S5" i="13" s="1"/>
  <c r="AO5" i="13"/>
  <c r="AP5" i="13"/>
  <c r="AM5" i="13"/>
  <c r="S17" i="13" a="1"/>
  <c r="S17" i="13" s="1"/>
  <c r="Q17" i="13"/>
  <c r="Q15" i="13"/>
  <c r="S14" i="13" a="1"/>
  <c r="S14" i="13" s="1"/>
  <c r="Q14" i="13"/>
  <c r="S13" i="13" a="1"/>
  <c r="S13" i="13" s="1"/>
  <c r="Q13" i="13"/>
  <c r="S12" i="13" a="1"/>
  <c r="S12" i="13" s="1"/>
  <c r="Q12" i="13"/>
  <c r="S11" i="13" a="1"/>
  <c r="S11" i="13" s="1"/>
  <c r="Q11" i="13"/>
  <c r="AD24" i="13"/>
  <c r="M34" i="13"/>
  <c r="BB5" i="13" s="1"/>
  <c r="BD5" i="13" s="1"/>
  <c r="Q6" i="13"/>
  <c r="Q10" i="13"/>
  <c r="Q9" i="13"/>
  <c r="Q8" i="13"/>
  <c r="Q7" i="13"/>
  <c r="Q5" i="13"/>
  <c r="J16" i="13"/>
  <c r="BK16" i="13" s="1"/>
  <c r="I20" i="13"/>
  <c r="D20" i="13"/>
  <c r="D40" i="13" s="1"/>
  <c r="P20" i="13"/>
  <c r="S16" i="13" l="1" a="1"/>
  <c r="S16" i="13" s="1"/>
  <c r="AN5" i="13"/>
  <c r="H41" i="13"/>
  <c r="H40" i="13"/>
  <c r="Q16" i="13"/>
  <c r="J20" i="13"/>
  <c r="D24" i="13" s="1"/>
  <c r="C41" i="13"/>
  <c r="D43" i="13" s="1"/>
  <c r="M26" i="13" l="1"/>
  <c r="Y5" i="13"/>
  <c r="AB5" i="13" s="1"/>
  <c r="AG5" i="13" s="1"/>
  <c r="AJ5" i="13" s="1"/>
  <c r="H25" i="13"/>
  <c r="D34" i="13"/>
  <c r="D35" i="13" s="1"/>
  <c r="Q20" i="13"/>
  <c r="H36" i="13" l="1"/>
  <c r="AK5" i="13" s="1"/>
  <c r="H46" i="13"/>
  <c r="AL5" i="13" l="1" a="1"/>
  <c r="AL5" i="13" s="1"/>
  <c r="H37" i="13"/>
  <c r="M24" i="13" s="1"/>
  <c r="M25" i="13" s="1"/>
  <c r="M28" i="13" l="1"/>
  <c r="AW5" i="13" s="1"/>
  <c r="V5" i="13" l="1"/>
  <c r="I1" i="13"/>
  <c r="M30" i="13"/>
  <c r="AX5" i="13" s="1"/>
  <c r="M31" i="13" l="1"/>
  <c r="M32" i="13" s="1"/>
  <c r="AY5" i="13" s="1"/>
  <c r="BA5" i="13" s="1"/>
  <c r="BE5" i="13" s="1"/>
  <c r="M33" i="13" l="1"/>
  <c r="AC24" i="13" s="1"/>
  <c r="M38" i="13" l="1"/>
  <c r="AU5" i="13" l="1"/>
  <c r="AV5" i="13" s="1"/>
  <c r="BF5" i="13" s="1"/>
</calcChain>
</file>

<file path=xl/sharedStrings.xml><?xml version="1.0" encoding="utf-8"?>
<sst xmlns="http://schemas.openxmlformats.org/spreadsheetml/2006/main" count="431" uniqueCount="120">
  <si>
    <t>M</t>
  </si>
  <si>
    <t>Value of perquisites [section 17(2)]
(as per FormNo.12BA, wherever applicable)</t>
  </si>
  <si>
    <t>SR.</t>
  </si>
  <si>
    <t>MONTH</t>
  </si>
  <si>
    <t>BASIC</t>
  </si>
  <si>
    <t>DA</t>
  </si>
  <si>
    <t>H. R. A.</t>
  </si>
  <si>
    <t>TA/SDA/CLA/RA/ETC</t>
  </si>
  <si>
    <t>WA</t>
  </si>
  <si>
    <t>DCPS Employer</t>
  </si>
  <si>
    <t>Basic Arr. / 7th Pay DCPS/NPS Arr</t>
  </si>
  <si>
    <t>Total Emolument</t>
  </si>
  <si>
    <t xml:space="preserve">PT </t>
  </si>
  <si>
    <t>GPF/DCPS Employee</t>
  </si>
  <si>
    <t>GIS</t>
  </si>
  <si>
    <t>LIC</t>
  </si>
  <si>
    <t>HBA HOUSE</t>
  </si>
  <si>
    <t>OTHER</t>
  </si>
  <si>
    <t>NET</t>
  </si>
  <si>
    <t>RENT PAID</t>
  </si>
  <si>
    <t>MED. BILL</t>
  </si>
  <si>
    <t>TOTAL</t>
  </si>
  <si>
    <t>GN</t>
  </si>
  <si>
    <t>NEW</t>
  </si>
  <si>
    <t xml:space="preserve">GROSS SALARY </t>
  </si>
  <si>
    <t>SAVINGS U/S. 80C</t>
  </si>
  <si>
    <t>Taxable Income</t>
  </si>
  <si>
    <t>LESS :</t>
  </si>
  <si>
    <t>i)</t>
  </si>
  <si>
    <t>Old Tax Regime</t>
  </si>
  <si>
    <t>STD. DED.</t>
  </si>
  <si>
    <t>ii)</t>
  </si>
  <si>
    <t>New Tax Regime</t>
  </si>
  <si>
    <t>iii)</t>
  </si>
  <si>
    <t>L.I.C. [Salary]</t>
  </si>
  <si>
    <t>Professional Tax</t>
  </si>
  <si>
    <t>iv</t>
  </si>
  <si>
    <t>L.I.C. [Individual]</t>
  </si>
  <si>
    <t>Tax on Total Income</t>
  </si>
  <si>
    <t>Other Allowance</t>
  </si>
  <si>
    <t>v)</t>
  </si>
  <si>
    <t>Housing Loan Principal</t>
  </si>
  <si>
    <t>H. R. A.  Exempt</t>
  </si>
  <si>
    <t>vi)</t>
  </si>
  <si>
    <t>Educational Fees</t>
  </si>
  <si>
    <t>(-) : Rebate 87</t>
  </si>
  <si>
    <t>B.D.D.S Allowance</t>
  </si>
  <si>
    <t>vii)</t>
  </si>
  <si>
    <t>Mutual Fund</t>
  </si>
  <si>
    <t>Tax on Total Inc.</t>
  </si>
  <si>
    <t>House Loan Int.</t>
  </si>
  <si>
    <t>viii)</t>
  </si>
  <si>
    <t>PLI</t>
  </si>
  <si>
    <t>(+) 4% Edu.Cess</t>
  </si>
  <si>
    <t>ix)</t>
  </si>
  <si>
    <t>Sukanya Yojna</t>
  </si>
  <si>
    <t>Tax Payable</t>
  </si>
  <si>
    <t>Total Deductions</t>
  </si>
  <si>
    <t>x)</t>
  </si>
  <si>
    <t>PPF</t>
  </si>
  <si>
    <t>(-) Already paid</t>
  </si>
  <si>
    <t xml:space="preserve">BALANCE </t>
  </si>
  <si>
    <t>xI)</t>
  </si>
  <si>
    <t>SBI Life Insurance</t>
  </si>
  <si>
    <t>(-) Relief 89</t>
  </si>
  <si>
    <t>Total Savings</t>
  </si>
  <si>
    <t>Eligible Savings</t>
  </si>
  <si>
    <t>HRA CALCULATION</t>
  </si>
  <si>
    <t>Total Tax Payable</t>
  </si>
  <si>
    <t>HRA RECEIVED</t>
  </si>
  <si>
    <t>SAVINGS CHAPTER VIA</t>
  </si>
  <si>
    <t>BASIC + DA 40 %</t>
  </si>
  <si>
    <t>80CCD (1B)</t>
  </si>
  <si>
    <t>BASIC +DA 10 %</t>
  </si>
  <si>
    <t>80G /( C. M. Fund)</t>
  </si>
  <si>
    <t>BASIC +DA 10 %  - RENT PAID</t>
  </si>
  <si>
    <t>iv)</t>
  </si>
  <si>
    <t>80D - Mediclaim Policy</t>
  </si>
  <si>
    <t>80U - Handicapped</t>
  </si>
  <si>
    <t>80E - Edu. Loan Intrest</t>
  </si>
  <si>
    <t>UNIQUE NAMES</t>
  </si>
  <si>
    <t>ALL NAMES</t>
  </si>
  <si>
    <t>GROSS TOTAL ERROR</t>
  </si>
  <si>
    <t>ALL PAN</t>
  </si>
  <si>
    <t>PaySlip</t>
  </si>
  <si>
    <t>I. TAX</t>
  </si>
  <si>
    <t>PAN NO.</t>
  </si>
  <si>
    <t>NAME OF EMPLOYEE</t>
  </si>
  <si>
    <t>115BAC Section Applicable (New Tax Regime)</t>
  </si>
  <si>
    <t>Salary as per provisions contained in section 17(1)</t>
  </si>
  <si>
    <t>Reported total amount of salary received from other employer(s)</t>
  </si>
  <si>
    <t>GROSS SALARY</t>
  </si>
  <si>
    <t>STD DED</t>
  </si>
  <si>
    <t>PT</t>
  </si>
  <si>
    <t>HSG. INT</t>
  </si>
  <si>
    <t>OTHER INCOME</t>
  </si>
  <si>
    <t>80C INVESTMENT</t>
  </si>
  <si>
    <t>80C ELIGIBLE</t>
  </si>
  <si>
    <t>80D</t>
  </si>
  <si>
    <t>80E</t>
  </si>
  <si>
    <t>80G</t>
  </si>
  <si>
    <t>OTHERS</t>
  </si>
  <si>
    <t>TOTAL ELIGIBLE SAVING</t>
  </si>
  <si>
    <t>TAXABLE</t>
  </si>
  <si>
    <t>TAX</t>
  </si>
  <si>
    <t>REBATE</t>
  </si>
  <si>
    <t>CESS</t>
  </si>
  <si>
    <t>RELIEF</t>
  </si>
  <si>
    <t>TOTAL TAX</t>
  </si>
  <si>
    <t>TDS-CURRENT</t>
  </si>
  <si>
    <t>TDS-PREV.</t>
  </si>
  <si>
    <t>R/P</t>
  </si>
  <si>
    <t>SR</t>
  </si>
  <si>
    <t>HRA</t>
  </si>
  <si>
    <t>OTHER ALLOWANCES 10</t>
  </si>
  <si>
    <t>80CCD1 GROSS</t>
  </si>
  <si>
    <t>80CCD1 ELIGIBLE</t>
  </si>
  <si>
    <t>80CCD1(B) ELIGIBLE</t>
  </si>
  <si>
    <t>80CCD2 ELIGIBLE</t>
  </si>
  <si>
    <t>SUPP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</si>
</sst>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Bookman Old Style"/>
      <family val="1"/>
    </font>
    <font>
      <sz val="9"/>
      <name val="Bookman Old Style"/>
      <family val="1"/>
    </font>
    <font>
      <sz val="9"/>
      <color theme="1"/>
      <name val="Bookman Old Style"/>
      <family val="1"/>
    </font>
    <font>
      <b/>
      <sz val="8"/>
      <name val="Arial"/>
      <family val="2"/>
    </font>
    <font>
      <sz val="9"/>
      <name val="Arial"/>
      <family val="2"/>
    </font>
    <font>
      <sz val="8"/>
      <name val="Bookman Old Style"/>
      <family val="1"/>
    </font>
    <font>
      <sz val="9"/>
      <color theme="0"/>
      <name val="Bookman Old Style"/>
      <family val="1"/>
    </font>
    <font>
      <b/>
      <u/>
      <sz val="9"/>
      <color theme="1"/>
      <name val="Bookman Old Style"/>
      <family val="1"/>
    </font>
    <font>
      <sz val="9"/>
      <color indexed="8"/>
      <name val="Bookman Old Style"/>
      <family val="1"/>
    </font>
    <font>
      <b/>
      <sz val="9"/>
      <color theme="1"/>
      <name val="Bookman Old Style"/>
      <family val="1"/>
    </font>
    <font>
      <sz val="8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6C451E"/>
      </right>
      <top style="medium">
        <color rgb="FF898989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vertical="center"/>
    </xf>
    <xf numFmtId="14" fontId="5" fillId="0" borderId="0" xfId="0" applyNumberFormat="1" applyFont="1" applyFill="1" applyBorder="1" applyAlignment="1">
      <alignment vertical="center"/>
    </xf>
    <xf numFmtId="17" fontId="5" fillId="0" borderId="0" xfId="0" applyNumberFormat="1" applyFont="1" applyFill="1" applyBorder="1" applyAlignment="1">
      <alignment vertical="center"/>
    </xf>
    <xf numFmtId="1" fontId="7" fillId="0" borderId="0" xfId="0" applyNumberFormat="1" applyFont="1" applyFill="1" applyAlignment="1" applyProtection="1">
      <alignment horizontal="right"/>
      <protection locked="0"/>
    </xf>
    <xf numFmtId="1" fontId="4" fillId="0" borderId="0" xfId="0" applyNumberFormat="1" applyFont="1" applyFill="1" applyBorder="1" applyAlignment="1">
      <alignment vertical="center"/>
    </xf>
    <xf numFmtId="17" fontId="8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17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1" fontId="5" fillId="0" borderId="4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1" fontId="5" fillId="0" borderId="5" xfId="0" applyNumberFormat="1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top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0" fillId="0" borderId="0" xfId="0" applyNumberFormat="1"/>
    <xf numFmtId="0" fontId="3" fillId="3" borderId="0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2" fillId="0" borderId="0" xfId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2" fillId="0" borderId="7" xfId="1" applyBorder="1" applyAlignment="1">
      <alignment horizontal="left" vertical="center"/>
    </xf>
    <xf numFmtId="0" fontId="0" fillId="0" borderId="0" xfId="0" applyAlignment="1"/>
    <xf numFmtId="17" fontId="0" fillId="0" borderId="0" xfId="0" applyNumberFormat="1"/>
    <xf numFmtId="0" fontId="0" fillId="0" borderId="0" xfId="0" applyFill="1"/>
    <xf numFmtId="0" fontId="6" fillId="0" borderId="0" xfId="0" applyNumberFormat="1" applyFont="1" applyFill="1" applyBorder="1" applyAlignment="1">
      <alignment vertical="center"/>
    </xf>
    <xf numFmtId="49" fontId="6" fillId="0" borderId="0" xfId="0" applyNumberFormat="1" applyFont="1" applyFill="1" applyBorder="1" applyAlignment="1">
      <alignment vertical="center"/>
    </xf>
    <xf numFmtId="2" fontId="6" fillId="0" borderId="0" xfId="0" applyNumberFormat="1" applyFont="1" applyFill="1" applyBorder="1" applyAlignment="1">
      <alignment vertical="center"/>
    </xf>
    <xf numFmtId="2" fontId="6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evaarth.mahakosh.gov.in/hrms.htm?actionFlag=generatePayslip&amp;printOrNot=No&amp;selMonth=3&amp;selYear=2021&amp;selBill=882016120003&amp;employeeid=-1&amp;dsgnId=-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4&amp;selYear=2021&amp;selBill=9920161209&amp;employeeid=-1&amp;dsgnId=-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5&amp;selYear=2021&amp;selBill=9920161209&amp;employeeid=-1&amp;dsgnId=-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6&amp;selYear=2021&amp;selBill=9920161209&amp;employeeid=-1&amp;dsgnId=-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7&amp;selYear=2021&amp;selBill=9920161209&amp;employeeid=-1&amp;dsgnId=-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8&amp;selYear=2021&amp;selBill=9920161209&amp;employeeid=-1&amp;dsgnId=-1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sevaarth.mahakosh.gov.in/hrms.htm?actionFlag=generatePayslip&amp;printOrNot=No&amp;selMonth=3&amp;selYear=2020&amp;selBill=99201612020&amp;employeeid=-1&amp;dsgnId=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0"/>
  <sheetViews>
    <sheetView tabSelected="1" zoomScale="115" zoomScaleNormal="115" workbookViewId="0"/>
  </sheetViews>
  <sheetFormatPr defaultRowHeight="15" x14ac:dyDescent="0.25"/>
  <cols>
    <col min="1" max="6" width="9.28515625" bestFit="1" customWidth="1"/>
    <col min="7" max="7" width="22.85546875" customWidth="1"/>
    <col min="8" max="18" width="9.28515625" bestFit="1" customWidth="1"/>
    <col min="19" max="19" width="18.140625" style="64" customWidth="1"/>
    <col min="20" max="20" width="9.140625" style="64" customWidth="1"/>
    <col min="21" max="21" width="9.140625" style="64"/>
    <col min="28" max="28" width="9.28515625" style="50" bestFit="1" customWidth="1"/>
    <col min="35" max="35" width="11.5703125" style="50" bestFit="1" customWidth="1"/>
    <col min="36" max="36" width="10.140625" style="50" customWidth="1"/>
    <col min="37" max="37" width="9.28515625" bestFit="1" customWidth="1"/>
  </cols>
  <sheetData>
    <row r="1" spans="1:67" s="74" customFormat="1" x14ac:dyDescent="0.25">
      <c r="A1" s="51">
        <f>+INDEX('EMP NAMES'!D:D,Sheet1!U5)</f>
        <v>0</v>
      </c>
      <c r="B1" s="4"/>
      <c r="C1" s="5"/>
      <c r="D1" s="3"/>
      <c r="E1" s="4"/>
      <c r="F1" s="4"/>
      <c r="G1" s="3"/>
      <c r="H1" s="3"/>
      <c r="I1" s="6" t="str">
        <f ca="1">+IF(M25=M28,"OLD","NEW")</f>
        <v>OLD</v>
      </c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70" t="s">
        <v>112</v>
      </c>
      <c r="V1" s="70" t="s">
        <v>88</v>
      </c>
      <c r="W1" s="70" t="s">
        <v>86</v>
      </c>
      <c r="X1" s="70" t="s">
        <v>87</v>
      </c>
      <c r="Y1" s="70" t="s">
        <v>89</v>
      </c>
      <c r="Z1" s="70" t="s">
        <v>1</v>
      </c>
      <c r="AA1" s="70" t="s">
        <v>90</v>
      </c>
      <c r="AB1" s="71" t="s">
        <v>91</v>
      </c>
      <c r="AC1" s="70" t="s">
        <v>92</v>
      </c>
      <c r="AD1" s="70" t="s">
        <v>93</v>
      </c>
      <c r="AE1" s="70" t="s">
        <v>113</v>
      </c>
      <c r="AF1" s="70" t="s">
        <v>114</v>
      </c>
      <c r="AG1" s="70" t="s">
        <v>18</v>
      </c>
      <c r="AH1" s="70" t="s">
        <v>94</v>
      </c>
      <c r="AI1" s="70" t="s">
        <v>95</v>
      </c>
      <c r="AJ1" s="70" t="s">
        <v>18</v>
      </c>
      <c r="AK1" s="70" t="s">
        <v>96</v>
      </c>
      <c r="AL1" s="70" t="s">
        <v>97</v>
      </c>
      <c r="AM1" s="70" t="s">
        <v>115</v>
      </c>
      <c r="AN1" s="70" t="s">
        <v>116</v>
      </c>
      <c r="AO1" s="70" t="s">
        <v>117</v>
      </c>
      <c r="AP1" s="70" t="s">
        <v>118</v>
      </c>
      <c r="AQ1" s="70" t="s">
        <v>98</v>
      </c>
      <c r="AR1" s="70" t="s">
        <v>99</v>
      </c>
      <c r="AS1" s="70" t="s">
        <v>100</v>
      </c>
      <c r="AT1" s="70" t="s">
        <v>101</v>
      </c>
      <c r="AU1" s="70" t="s">
        <v>102</v>
      </c>
      <c r="AV1" s="70" t="s">
        <v>103</v>
      </c>
      <c r="AW1" s="70" t="s">
        <v>104</v>
      </c>
      <c r="AX1" s="70" t="s">
        <v>105</v>
      </c>
      <c r="AY1" s="70" t="s">
        <v>106</v>
      </c>
      <c r="AZ1" s="70" t="s">
        <v>107</v>
      </c>
      <c r="BA1" s="70" t="s">
        <v>108</v>
      </c>
      <c r="BB1" s="70" t="s">
        <v>109</v>
      </c>
      <c r="BC1" s="70" t="s">
        <v>110</v>
      </c>
      <c r="BD1" s="70" t="s">
        <v>21</v>
      </c>
      <c r="BE1" s="70" t="s">
        <v>111</v>
      </c>
      <c r="BH1" s="4"/>
      <c r="BI1" s="4"/>
      <c r="BJ1" s="4"/>
      <c r="BK1" s="4"/>
      <c r="BL1" s="4"/>
      <c r="BM1" s="4"/>
      <c r="BN1" s="72"/>
      <c r="BO1" s="72"/>
    </row>
    <row r="2" spans="1:67" x14ac:dyDescent="0.25">
      <c r="A2" s="4"/>
      <c r="C2" s="5"/>
      <c r="D2" s="3"/>
      <c r="E2" s="3"/>
      <c r="F2" s="3"/>
      <c r="G2" s="3" t="str">
        <f>IFERROR(INDEX('EMP NAMES'!E:E,Sheet1!U5),"PAN")</f>
        <v>PAN</v>
      </c>
      <c r="H2" s="3"/>
      <c r="I2" s="3"/>
      <c r="J2" s="3"/>
      <c r="K2" s="3"/>
      <c r="L2" s="3"/>
      <c r="M2" s="3"/>
      <c r="N2" s="3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49"/>
      <c r="AC2" s="7"/>
      <c r="AD2" s="7"/>
      <c r="AE2" s="7"/>
      <c r="AF2" s="7"/>
      <c r="AG2" s="7"/>
      <c r="AH2" s="7"/>
      <c r="AI2" s="49"/>
      <c r="AJ2" s="49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</row>
    <row r="3" spans="1:67" x14ac:dyDescent="0.25">
      <c r="A3" s="7"/>
      <c r="B3" s="4"/>
      <c r="C3" s="5"/>
      <c r="D3" s="8"/>
      <c r="E3" s="8"/>
      <c r="F3" s="8"/>
      <c r="G3" s="8"/>
      <c r="H3" s="8"/>
      <c r="I3" s="8"/>
      <c r="J3" s="8"/>
      <c r="K3" s="8"/>
      <c r="L3" s="8"/>
      <c r="M3" s="8"/>
      <c r="N3" s="9" t="s">
        <v>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65"/>
      <c r="AC3" s="66"/>
      <c r="AD3" s="66"/>
      <c r="AE3" s="66"/>
      <c r="AF3" s="66"/>
      <c r="AG3" s="66"/>
      <c r="AH3" s="66"/>
      <c r="AI3" s="65"/>
      <c r="AJ3" s="65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9"/>
      <c r="BH3" s="69"/>
      <c r="BI3" s="69"/>
      <c r="BJ3" s="69"/>
      <c r="BK3" s="69"/>
      <c r="BL3" s="69"/>
      <c r="BM3" s="69"/>
      <c r="BN3" s="69"/>
      <c r="BO3" s="69"/>
    </row>
    <row r="4" spans="1:67" ht="51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2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2" t="s">
        <v>85</v>
      </c>
      <c r="S4" s="37" t="s">
        <v>82</v>
      </c>
      <c r="T4" s="13"/>
      <c r="U4" s="75" t="s">
        <v>112</v>
      </c>
      <c r="V4" s="75" t="s">
        <v>88</v>
      </c>
      <c r="W4" s="75" t="s">
        <v>86</v>
      </c>
      <c r="X4" s="75" t="s">
        <v>87</v>
      </c>
      <c r="Y4" s="75" t="s">
        <v>89</v>
      </c>
      <c r="Z4" s="75" t="s">
        <v>1</v>
      </c>
      <c r="AA4" s="75" t="s">
        <v>90</v>
      </c>
      <c r="AB4" s="76" t="s">
        <v>91</v>
      </c>
      <c r="AC4" s="75" t="s">
        <v>92</v>
      </c>
      <c r="AD4" s="75" t="s">
        <v>93</v>
      </c>
      <c r="AE4" s="75" t="s">
        <v>113</v>
      </c>
      <c r="AF4" s="75" t="s">
        <v>114</v>
      </c>
      <c r="AG4" s="75" t="s">
        <v>18</v>
      </c>
      <c r="AH4" s="75" t="s">
        <v>94</v>
      </c>
      <c r="AI4" s="75" t="s">
        <v>95</v>
      </c>
      <c r="AJ4" s="75" t="s">
        <v>18</v>
      </c>
      <c r="AK4" s="75" t="s">
        <v>96</v>
      </c>
      <c r="AL4" s="75" t="s">
        <v>97</v>
      </c>
      <c r="AM4" s="75" t="s">
        <v>115</v>
      </c>
      <c r="AN4" s="75" t="s">
        <v>116</v>
      </c>
      <c r="AO4" s="75" t="s">
        <v>117</v>
      </c>
      <c r="AP4" s="75" t="s">
        <v>118</v>
      </c>
      <c r="AQ4" s="75" t="s">
        <v>98</v>
      </c>
      <c r="AR4" s="75" t="s">
        <v>99</v>
      </c>
      <c r="AS4" s="75" t="s">
        <v>100</v>
      </c>
      <c r="AT4" s="75" t="s">
        <v>101</v>
      </c>
      <c r="AU4" s="75" t="s">
        <v>102</v>
      </c>
      <c r="AV4" s="75" t="s">
        <v>103</v>
      </c>
      <c r="AW4" s="75" t="s">
        <v>104</v>
      </c>
      <c r="AX4" s="75" t="s">
        <v>105</v>
      </c>
      <c r="AY4" s="75" t="s">
        <v>106</v>
      </c>
      <c r="AZ4" s="75" t="s">
        <v>107</v>
      </c>
      <c r="BA4" s="75" t="s">
        <v>108</v>
      </c>
      <c r="BB4" s="75" t="s">
        <v>109</v>
      </c>
      <c r="BC4" s="75" t="s">
        <v>110</v>
      </c>
      <c r="BD4" s="75" t="s">
        <v>21</v>
      </c>
      <c r="BE4" s="75" t="s">
        <v>111</v>
      </c>
      <c r="BH4" s="68"/>
      <c r="BI4" s="68"/>
      <c r="BJ4" s="68"/>
      <c r="BK4" s="68"/>
      <c r="BL4" s="68"/>
      <c r="BM4" s="68"/>
      <c r="BN4" s="73"/>
      <c r="BO4" s="74"/>
    </row>
    <row r="5" spans="1:67" ht="15" customHeight="1" x14ac:dyDescent="0.25">
      <c r="A5" s="14">
        <v>1</v>
      </c>
      <c r="B5" s="15">
        <v>44256</v>
      </c>
      <c r="C5" s="16">
        <f ca="1">IFERROR(SUM(SUMIF(OFFSET('MAR-21'!$A$1,MATCH(Sheet1!A1,'MAR-21'!$A:$A,0),0,22,1),{"BA*C","BASIC??"},OFFSET('MAR-21'!$A$1,MATCH(Sheet1!A1,'MAR-21'!$A:$A,0),1,22,1))),0)</f>
        <v>0</v>
      </c>
      <c r="D5" s="16">
        <f ca="1">IFERROR(SUM(SUMIF(OFFSET('MAR-21'!$A$1,MATCH(Sheet1!A1,'MAR-21'!$A:$A,0),0,22,1),{"DA*C","D. *"},OFFSET('MAR-21'!$A$1,MATCH(Sheet1!A1,'MAR-21'!$A:$A,0),1,22,1))),0)</f>
        <v>0</v>
      </c>
      <c r="E5" s="16">
        <f ca="1">IFERROR(SUM(SUMIF(OFFSET('MAR-21'!$A$1,MATCH(Sheet1!A1,'MAR-21'!$A:$A,0),0,22,1),{"H. R. A."},OFFSET('MAR-21'!$A$1,MATCH(Sheet1!A1,'MAR-21'!$A:$A,0),1,22,1))),0)</f>
        <v>0</v>
      </c>
      <c r="F5" s="16">
        <f t="array" aca="1" ref="F5" ca="1">IFERROR(SUM(SUMIF(OFFSET('MAR-21'!$A$1,MATCH(Sheet1!A1,'MAR-21'!$A:$A,0),0,22,1),{"SP*AY*","S D A*","O.A.*","CLA (5th Pay)*","REF. Allow*","Trans.Allw.*","LF*","P. O.*","ARM*","Conv.A*","Otr.Allow*","Trans_Arrear*","BMIA*","Incentives*","Fit Allow*","KMA","NON-*","U.*","ME*A","PG*","Per.Tra"},OFFSET('MAR-21'!$A$1,MATCH(Sheet1!A1,'MAR-21'!$A:$A,0),1,22,1))),0)</f>
        <v>0</v>
      </c>
      <c r="G5" s="16">
        <f ca="1">IFERROR(SUM(SUMIF(OFFSET('MAR-21'!$A$1,MATCH(Sheet1!A1,'MAR-21'!$A:$A,0),0,22,1),{"WA"},OFFSET('MAR-21'!$A$1,MATCH(Sheet1!A1,'MAR-21'!$A:$A,0),1,22,1))),0)</f>
        <v>0</v>
      </c>
      <c r="H5" s="16">
        <f ca="1">IFERROR(SUM(SUMIF(OFFSET('MAR-21'!$A$1,MATCH(Sheet1!A1,'MAR-21'!$A:$A,0),0,22,1),{"DCPS","GROSS_ADJUST"},OFFSET('MAR-21'!$A$1,MATCH(Sheet1!A1,'MAR-21'!$A:$A,0),1,22,1))),0)</f>
        <v>0</v>
      </c>
      <c r="I5" s="16">
        <f t="array" aca="1" ref="I5" ca="1">+IFERROR(SUM(SUMIF(OFFSET('MAR-21'!$A$1,MATCH(Sheet1!A1,'MAR-21'!$A:$A,0),0,22,1),{"Basic*Arr*","7th Pay* Arr*"},OFFSET('MAR-21'!$A$1,MATCH(Sheet1!A1,'MAR-21'!$A:$A,0),1,22,1))),0)</f>
        <v>0</v>
      </c>
      <c r="J5" s="16">
        <f ca="1">+SUM(C5:I5)</f>
        <v>0</v>
      </c>
      <c r="K5" s="16">
        <f ca="1">IFERROR(SUM(SUMIF(OFFSET('MAR-21'!$A$1,MATCH(Sheet1!A1,'MAR-21'!$A:$A,0),2,22,1),{"*Pro*ax*"},OFFSET('MAR-21'!$A$1,MATCH(Sheet1!A1,'MAR-21'!$A:$A,0),3,22,1))),0)</f>
        <v>0</v>
      </c>
      <c r="L5" s="16">
        <f ca="1">IFERROR(SUM(SUMIF(OFFSET('MAR-21'!$A$1,MATCH(Sheet1!A1,'MAR-21'!$A:$A,0),2,22,1),{"GPF_G*","DCPS"},OFFSET('MAR-21'!$A$1,MATCH(Sheet1!A1,'MAR-21'!$A:$A,0),3,22,1))),0)</f>
        <v>0</v>
      </c>
      <c r="M5" s="16">
        <f ca="1">IFERROR(SUM(SUMIF(OFFSET('MAR-21'!$A$1,MATCH(Sheet1!A1,'MAR-21'!$A:$A,0),2,22,1),{"*GIS","GIS*R"},OFFSET('MAR-21'!$A$1,MATCH(Sheet1!A1,'MAR-21'!$A:$A,0),3,22,1))),0)</f>
        <v>0</v>
      </c>
      <c r="N5" s="16">
        <f ca="1">IFERROR(SUM(SUMIF(OFFSET('MAR-21'!$A$1,MATCH(Sheet1!A1,'MAR-21'!$A:$A,0),5,22,1),{"LI*1"},OFFSET('MAR-21'!$A$1,MATCH(Sheet1!A1,'MAR-21'!$A:$A,0),6,22,1))),0)</f>
        <v>0</v>
      </c>
      <c r="O5" s="16">
        <f t="array" aca="1" ref="O5" ca="1">IFERROR(SUM(SUMIF(OFFSET('MAR-21'!$A$1,MATCH(Sheet1!A1,'MAR-21'!$A:$A,0),2,22,1),{"*HB*USE","HB*INT"},OFFSET('MAR-21'!$A$1,MATCH(Sheet1!A1,'MAR-21'!$A:$A,0),3,22,1))),0)</f>
        <v>0</v>
      </c>
      <c r="P5" s="16">
        <f t="array" aca="1" ref="P5" ca="1">IFERROR(SUM(SUMIF(OFFSET('MAR-21'!$A$1,MATCH(Sheet1!A1,'MAR-21'!$A:$A,0),5,22,1),{"OTHE*1","CO.*1","OTHE*2","WEL*ND","BAN*1","CLU*ND","RD*1","LI*2","MIS*US","*TAINAN*","MCA*INT*","MAIN*NANCE*","*C M Relief Fund*","Co. Op. Hsg Soc.*","GPF_ADV*","Co. Op. Cr. Soc. 2*","DCPS DA","DCPS Pay","MCA Int"},OFFSET('MAR-21'!$A$1,MATCH(Sheet1!A1,'MAR-21'!$A:$A,0),6,22,1)))+SUM(SUMIF(OFFSET('MAR-21'!$A$1,MATCH(Sheet1!A1,'MAR-21'!$A:$A,0),2,22,1),{"MCA","COM*DV*","HB*ND","CO*SOC","HRR","SRV*H","ACC*CY","F.A","STAMP_REVENUE","*C M Relief Fund*","GPF_ADV*","Co. Op. Cr. Soc. 2*","DCPS DA","DCPS Pay","MCA Int"},OFFSET('MAR-21'!$A$1,MATCH(Sheet1!A1,'MAR-21'!$A:$A,0),3,22,1))),0)</f>
        <v>0</v>
      </c>
      <c r="Q5" s="17">
        <f ca="1">+J5-H5-K5-L5-M5-N5-O5-P5-R5</f>
        <v>0</v>
      </c>
      <c r="R5" s="17">
        <f ca="1">IFERROR(SUM(SUMIF(OFFSET('MAR-21'!$A$1,MATCH(Sheet1!A1,'MAR-21'!$A:$A,0),2,22,1),{"*I.*ax*"},OFFSET('MAR-21'!$A$1,MATCH(Sheet1!A1,'MAR-21'!$A:$A,0),3,22,1))),0)</f>
        <v>0</v>
      </c>
      <c r="S5" s="46" t="str">
        <f t="array" aca="1" ref="S5" ca="1">+IFERROR(IF(OFFSET('MAR-21'!$B$1,MATCH(Sheet1!A1,'MAR-21'!B:B,0)-2,0,1,1)=Sheet1!J5,IF(MID(IFERROR(OFFSET('MAR-21'!$B$1,MATCH(Sheet1!A1,'MAR-21'!$B:$B,0)-1,-1,1,1),"GROSS ERROR"),11,FIND(" ",OFFSET('MAR-21'!$B$1,MATCH(Sheet1!A1,'MAR-21'!$B:$B,0)-1,-1,1,1),12)-11)-Q5=0,"","NET MISMATCH"),"GROSS MISMATCH"),"")</f>
        <v/>
      </c>
      <c r="T5" s="47"/>
      <c r="U5" s="49">
        <v>2</v>
      </c>
      <c r="V5" s="7" t="str">
        <f ca="1">+IF(M25=M28,"NO","YES")</f>
        <v>NO</v>
      </c>
      <c r="W5" s="7" t="str">
        <f>+G2</f>
        <v>PAN</v>
      </c>
      <c r="X5" s="7">
        <f>+A1</f>
        <v>0</v>
      </c>
      <c r="Y5" s="7">
        <f ca="1">+D24</f>
        <v>0</v>
      </c>
      <c r="Z5" s="7">
        <v>0</v>
      </c>
      <c r="AA5" s="7">
        <v>0</v>
      </c>
      <c r="AB5" s="49">
        <f ca="1">+SUM(Y5:AA5)</f>
        <v>0</v>
      </c>
      <c r="AC5" s="49">
        <f>+D26</f>
        <v>50000</v>
      </c>
      <c r="AD5" s="7">
        <f ca="1">+D28</f>
        <v>0</v>
      </c>
      <c r="AE5" s="18">
        <f>+D30</f>
        <v>0</v>
      </c>
      <c r="AF5" s="7">
        <f ca="1">+D29+D27+D31</f>
        <v>0</v>
      </c>
      <c r="AG5" s="21">
        <f ca="1">+AB5-SUM(AC5:AF5)</f>
        <v>-50000</v>
      </c>
      <c r="AH5" s="7">
        <f>+IF(D32&gt;=200000,-200000,-D32)</f>
        <v>0</v>
      </c>
      <c r="AI5" s="21">
        <v>0</v>
      </c>
      <c r="AJ5" s="21">
        <f ca="1">+AG5+AH5+AI5</f>
        <v>-50000</v>
      </c>
      <c r="AK5" s="21">
        <f ca="1">+IF(H41&gt;0,H36-H25,H36)</f>
        <v>0</v>
      </c>
      <c r="AL5" s="21">
        <f t="array" aca="1" ref="AL5" ca="1">+IF(IF(AND((AK5+AN5)&gt;=150000,AK5&gt;=150000),150000-AN5,AK5)&lt;0,0,IF(AND((AK5+AN5)&gt;=150000,AK5&gt;=150000),150000-AN5,IF(AND(SUM(AK5+AN5)&gt;150000,AK5&lt;150000),150000-AN5,AK5)))</f>
        <v>0</v>
      </c>
      <c r="AM5" s="21">
        <f ca="1">+IF(H20&gt;0,L20,0)</f>
        <v>0</v>
      </c>
      <c r="AN5" s="21">
        <f ca="1">+AM5-AO5</f>
        <v>0</v>
      </c>
      <c r="AO5" s="21">
        <f ca="1">+IF(AND(H20&gt;0,L20&gt;50000),50000,IF(H20&gt;0,L20,0))</f>
        <v>0</v>
      </c>
      <c r="AP5" s="21">
        <f ca="1">+H20</f>
        <v>0</v>
      </c>
      <c r="AQ5" s="21">
        <f>+H43</f>
        <v>0</v>
      </c>
      <c r="AR5" s="21">
        <f>+H45</f>
        <v>0</v>
      </c>
      <c r="AS5" s="21">
        <f ca="1">+H42</f>
        <v>0</v>
      </c>
      <c r="AT5" s="21">
        <f>+H44</f>
        <v>0</v>
      </c>
      <c r="AU5" s="21">
        <f ca="1">+SUM(AQ5:AT5)+AP5+AO5+AN5+AL5</f>
        <v>0</v>
      </c>
      <c r="AV5" s="21">
        <f ca="1">+AJ5-AU5</f>
        <v>-50000</v>
      </c>
      <c r="AW5" s="21">
        <f ca="1">+M28</f>
        <v>0</v>
      </c>
      <c r="AX5" s="21">
        <f ca="1">+M30</f>
        <v>0</v>
      </c>
      <c r="AY5" s="21">
        <f ca="1">+M32</f>
        <v>0</v>
      </c>
      <c r="AZ5" s="21">
        <f>+M35</f>
        <v>0</v>
      </c>
      <c r="BA5" s="21">
        <f ca="1">+AW5-AX5+AY5-AZ5</f>
        <v>0</v>
      </c>
      <c r="BB5" s="21">
        <f ca="1">+M34</f>
        <v>0</v>
      </c>
      <c r="BC5" s="21">
        <v>0</v>
      </c>
      <c r="BD5" s="21">
        <f ca="1">+BB5+BC5</f>
        <v>0</v>
      </c>
      <c r="BE5" s="21">
        <f ca="1">+BA5-BD5</f>
        <v>0</v>
      </c>
      <c r="BF5" s="21" t="str">
        <f ca="1">+IF(AV5=M24,"","NOT OK")</f>
        <v/>
      </c>
      <c r="BH5" s="64" t="str">
        <f>+G2</f>
        <v>PAN</v>
      </c>
      <c r="BI5" s="47">
        <f>+A1</f>
        <v>0</v>
      </c>
      <c r="BJ5" s="18" t="str">
        <f t="array" aca="1" ref="BJ5" ca="1">IFERROR(OFFSET('MAR-21'!$B$1,MATCH(Sheet1!A1,'MAR-21'!$B:$B,0)+1,0,1,1),"")</f>
        <v/>
      </c>
      <c r="BK5" s="64">
        <f t="shared" ref="BK5:BK17" ca="1" si="0">+J5</f>
        <v>0</v>
      </c>
      <c r="BL5" s="18">
        <f t="shared" ref="BL5:BL17" ca="1" si="1">+R5</f>
        <v>0</v>
      </c>
      <c r="BM5" s="7" t="str">
        <f t="array" aca="1" ref="BM5" ca="1">IFERROR(OFFSET('MAR-21'!$A$1,MATCH(Sheet1!A1,'MAR-21'!$A:$A,0)-2,0,1,1),"")</f>
        <v/>
      </c>
      <c r="BN5" s="21"/>
      <c r="BO5" s="21"/>
    </row>
    <row r="6" spans="1:67" ht="15" customHeight="1" x14ac:dyDescent="0.25">
      <c r="A6" s="14">
        <v>2</v>
      </c>
      <c r="B6" s="15">
        <v>44287</v>
      </c>
      <c r="C6" s="16">
        <f ca="1">IFERROR(SUM(SUMIF(OFFSET('APR-21'!$A$1,MATCH(Sheet1!A1,'APR-21'!$A:$A,0),0,22,1),{"BA*C","BASIC??"},OFFSET('APR-21'!$A$1,MATCH(Sheet1!A1,'APR-21'!$A:$A,0),1,22,1))),0)</f>
        <v>0</v>
      </c>
      <c r="D6" s="16">
        <f ca="1">IFERROR(SUM(SUMIF(OFFSET('APR-21'!$A$1,MATCH(Sheet1!A1,'APR-21'!$A:$A,0),0,22,1),{"DA*C","D. *"},OFFSET('APR-21'!$A$1,MATCH(Sheet1!A1,'APR-21'!$A:$A,0),1,22,1))),0)</f>
        <v>0</v>
      </c>
      <c r="E6" s="16">
        <f t="array" aca="1" ref="E6" ca="1">+IFERROR(SUM(SUMIF(OFFSET('APR-21'!$A$1,MATCH(Sheet1!A1,'APR-21'!$A:$A,0),0,22,1),{"H. R. A."},OFFSET('APR-21'!$A$1,MATCH(Sheet1!A1,'APR-21'!$A:$A,0),1,22,1))),0)</f>
        <v>0</v>
      </c>
      <c r="F6" s="16">
        <f ca="1">IFERROR(SUM(SUMIF(OFFSET('APR-21'!$A$1,MATCH(Sheet1!A1,'APR-21'!$A:$A,0),0,22,1),{"SP*AY*","S D A*","O.A.*","CLA (5th Pay)*","REF. Allow*","Trans.Allw.*","LF*","P. O.*","ARM*","Conv.A*","Otr.Allow*","Trans_Arrear*","BMIA*","Incentives*","Fit Allow*","KMA","NON-*","U.*","ME*A","PG*","Per.Tra"},OFFSET('APR-21'!$A$1,MATCH(Sheet1!A1,'APR-21'!$A:$A,0),1,22,1))),0)</f>
        <v>0</v>
      </c>
      <c r="G6" s="16">
        <f ca="1">IFERROR(SUM(SUMIF(OFFSET('APR-21'!$A$1,MATCH(Sheet1!A1,'APR-21'!$A:$A,0),0,22,1),{"WA"},OFFSET('APR-21'!$A$1,MATCH(Sheet1!A1,'APR-21'!$A:$A,0),1,22,1))),0)</f>
        <v>0</v>
      </c>
      <c r="H6" s="16">
        <f ca="1">IFERROR(SUM(SUMIF(OFFSET('APR-21'!$A$1,MATCH(Sheet1!A1,'APR-21'!$A:$A,0),0,22,1),{"DCPS","GROSS_ADJUST"},OFFSET('APR-21'!$A$1,MATCH(Sheet1!A1,'APR-21'!$A:$A,0),1,22,1))),0)</f>
        <v>0</v>
      </c>
      <c r="I6" s="16">
        <f t="array" aca="1" ref="I6" ca="1">+IFERROR(SUM(SUMIF(OFFSET('APR-21'!$A$1,MATCH(Sheet1!A1,'APR-21'!$A:$A,0),0,22,1),{"Arr*","7th Pay* Arr*","Basic Arr."},OFFSET('APR-21'!$A$1,MATCH(Sheet1!A1,'APR-21'!$A:$A,0),1,22,1))),0)</f>
        <v>0</v>
      </c>
      <c r="J6" s="16">
        <f t="shared" ref="J6:J17" ca="1" si="2">SUM(C6:I6)</f>
        <v>0</v>
      </c>
      <c r="K6" s="16">
        <f ca="1">IFERROR(SUM(SUMIF(OFFSET('APR-21'!$A$1,MATCH(Sheet1!A1,'APR-21'!$A:$A,0),2,22,1),{"*Pro*ax*"},OFFSET('APR-21'!$A$1,MATCH(Sheet1!A1,'APR-21'!$A:$A,0),3,22,1))),0)</f>
        <v>0</v>
      </c>
      <c r="L6" s="16">
        <f ca="1">IFERROR(SUM(SUMIF(OFFSET('APR-21'!$A$1,MATCH(Sheet1!A1,'APR-21'!$A:$A,0),2,22,1),{"GPF_G*","DCPS"},OFFSET('APR-21'!$A$1,MATCH(Sheet1!A1,'APR-21'!$A:$A,0),3,22,1))),0)</f>
        <v>0</v>
      </c>
      <c r="M6" s="16">
        <f ca="1">IFERROR(SUM(SUMIF(OFFSET('APR-21'!$A$1,MATCH(Sheet1!A1,'APR-21'!$A:$A,0),2,22,1),{"*GIS","GIS*R"},OFFSET('APR-21'!$A$1,MATCH(Sheet1!A1,'APR-21'!$A:$A,0),3,22,1))),0)</f>
        <v>0</v>
      </c>
      <c r="N6" s="16">
        <f ca="1">IFERROR(SUM(SUMIF(OFFSET('APR-21'!$A$1,MATCH(Sheet1!A1,'APR-21'!$A:$A,0),5,22,1),{"LI*1"},OFFSET('APR-21'!$A$1,MATCH(Sheet1!A1,'APR-21'!$A:$A,0),6,22,1))),0)</f>
        <v>0</v>
      </c>
      <c r="O6" s="16">
        <f t="array" aca="1" ref="O6" ca="1">IFERROR(SUM(SUMIF(OFFSET('APR-21'!$A$1,MATCH(Sheet1!A1,'APR-21'!$A:$A,0),2,22,1),{"HB*USE","HB*INT"},OFFSET('APR-21'!$A$1,MATCH(Sheet1!A1,'APR-21'!$A:$A,0),3,22,1))),0)</f>
        <v>0</v>
      </c>
      <c r="P6" s="16">
        <f t="array" aca="1" ref="P6" ca="1">IFERROR(SUM(SUMIF(OFFSET('APR-21'!$A$1,MATCH(Sheet1!A1,'APR-21'!$A:$A,0),5,22,1),{"OTHE*1","CO.*1","OTHE*2","WEL*ND","BAN*1","CLU*ND","RD*1","LI*2","MIS*US","*TAINAN*","MCA*INT*","MAIN*NANCE*","*C M Relief Fund*","Co. Op. Hsg Soc.*","GPF_ADV*","Co. Op. Cr. Soc. 2*","DCPS DA","DCPS Pay","MCA Int"},OFFSET('APR-21'!$A$1,MATCH(Sheet1!A1,'APR-21'!$A:$A,0),6,22,1)))+SUM(SUMIF(OFFSET('APR-21'!$A$1,MATCH(Sheet1!A1,'APR-21'!$A:$A,0),2,22,1),{"MCA","COM*DV*","HB*ND","CO*SOC","HRR","SRV*H","ACC*CY","F.A","STAMP_REVENUE","*C M Relief Fund*","GPF_ADV*","Co. Op. Cr. Soc. 2*","DCPS DA","DCPS Pay","MCA Int"},OFFSET('APR-21'!$A$1,MATCH(Sheet1!A1,'APR-21'!$A:$A,0),3,22,1))),0)</f>
        <v>0</v>
      </c>
      <c r="Q6" s="17">
        <f t="shared" ref="Q6:Q10" ca="1" si="3">+J6-H6-K6-L6-M6-N6-O6-P6-R6</f>
        <v>0</v>
      </c>
      <c r="R6" s="17">
        <f t="array" aca="1" ref="R6" ca="1">IFERROR(SUM(SUMIF(OFFSET('APR-21'!$A$1,MATCH(Sheet1!A1,'APR-21'!$A:$A,0),2,22,1),{"*I. *ax*"},OFFSET('APR-21'!$A$1,MATCH(Sheet1!A1,'APR-21'!$A:$A,0),3,22,1))),0)</f>
        <v>0</v>
      </c>
      <c r="S6" s="46" t="str">
        <f t="array" aca="1" ref="S6" ca="1">+IFERROR(IF(OFFSET('APR-21'!$B$1,MATCH(Sheet1!A1,'APR-21'!B:B,0)-2,0,1,1)=Sheet1!J6,IF(MID(IFERROR(OFFSET('APR-21'!$B$1,MATCH(Sheet1!A1,'APR-21'!$B:$B,0)-1,-1,1,1),"GROSS ERROR"),11,FIND(" ",OFFSET('APR-21'!$B$1,MATCH(Sheet1!A1,'APR-21'!$B:$B,0)-1,-1,1,1),12)-11)-Q6=0,"","NET MISMATCH"),"GROSS MISMATCH"),"")</f>
        <v/>
      </c>
      <c r="T6" s="47"/>
      <c r="V6" s="18"/>
      <c r="W6" s="7"/>
      <c r="X6" s="18"/>
      <c r="Y6" s="7"/>
      <c r="Z6" s="19"/>
      <c r="AA6" s="49"/>
      <c r="AC6" s="7"/>
      <c r="AD6" s="7"/>
      <c r="AE6" s="7"/>
      <c r="AF6" s="7"/>
      <c r="AG6" s="7"/>
      <c r="AH6" s="7"/>
      <c r="AI6" s="49"/>
      <c r="AJ6" s="49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64" t="str">
        <f>+G2</f>
        <v>PAN</v>
      </c>
      <c r="BI6" s="47">
        <f>+A1</f>
        <v>0</v>
      </c>
      <c r="BJ6" s="18" t="str">
        <f t="array" aca="1" ref="BJ6" ca="1">IFERROR(OFFSET('APR-21'!$B$1,MATCH(Sheet1!A1,'APR-21'!$B:$B,0)+1,0,1,1),"")</f>
        <v/>
      </c>
      <c r="BK6" s="64">
        <f t="shared" ca="1" si="0"/>
        <v>0</v>
      </c>
      <c r="BL6" s="18">
        <f t="shared" ca="1" si="1"/>
        <v>0</v>
      </c>
      <c r="BM6" s="7" t="str">
        <f t="array" aca="1" ref="BM6" ca="1">IFERROR(OFFSET('APR-21'!$A$1,MATCH(Sheet1!A1,'APR-21'!$A:$A,0)-2,0,1,1),"")</f>
        <v/>
      </c>
      <c r="BN6" s="7"/>
      <c r="BO6" s="7"/>
    </row>
    <row r="7" spans="1:67" ht="15" customHeight="1" x14ac:dyDescent="0.25">
      <c r="A7" s="14">
        <v>3</v>
      </c>
      <c r="B7" s="15">
        <v>44317</v>
      </c>
      <c r="C7" s="16">
        <f ca="1">IFERROR(SUM(SUMIF(OFFSET('MAY-21'!$A$1,MATCH(Sheet1!A1,'MAY-21'!$A:$A,0),0,22,1),{"BA*C","BASIC??"},OFFSET('MAY-21'!$A$1,MATCH(Sheet1!A1,'MAY-21'!$A:$A,0),1,22,1))),0)</f>
        <v>0</v>
      </c>
      <c r="D7" s="16">
        <f ca="1">IFERROR(SUM(SUMIF(OFFSET('MAY-21'!$A$1,MATCH(Sheet1!A1,'MAY-21'!$A:$A,0),0,22,1),{"DA*C","D. *"},OFFSET('MAY-21'!$A$1,MATCH(Sheet1!A1,'MAY-21'!$A:$A,0),1,22,1))),0)</f>
        <v>0</v>
      </c>
      <c r="E7" s="16">
        <f ca="1">IFERROR(SUM(SUMIF(OFFSET('MAY-21'!$A$1,MATCH(Sheet1!A1,'MAY-21'!$A:$A,0),0,22,1),{"H. R. A."},OFFSET('MAY-21'!$A$1,MATCH(Sheet1!A1,'MAY-21'!$A:$A,0),1,22,1))),0)</f>
        <v>0</v>
      </c>
      <c r="F7" s="16">
        <f t="array" aca="1" ref="F7" ca="1">IFERROR(SUM(SUMIF(OFFSET('MAY-21'!$A$1,MATCH(Sheet1!A1,'MAY-21'!$A:$A,0),0,22,1),{"SP*AY*","S D A*","O.A.*","CLA (5th Pay)*","REF. Allow*","Trans.Allw.*","LF*","P. O.*","ARM*","Conv.A*","Otr.Allow*","Trans_Arrear*","BMIA*","Incentives*","Fit Allow*","KMA","NON-*","U.*","ME*A","PG*","Per.Tra"},OFFSET('MAY-21'!$A$1,MATCH(Sheet1!A1,'MAY-21'!$A:$A,0),1,22,1))),0)</f>
        <v>0</v>
      </c>
      <c r="G7" s="16">
        <f ca="1">IFERROR(SUM(SUMIF(OFFSET('MAY-21'!$A$1,MATCH(Sheet1!A1,'MAY-21'!$A:$A,0),0,22,1),{"WA"},OFFSET('MAY-21'!$A$1,MATCH(Sheet1!A1,'MAY-21'!$A:$A,0),1,22,1))),0)</f>
        <v>0</v>
      </c>
      <c r="H7" s="16">
        <f ca="1">IFERROR(SUM(SUMIF(OFFSET('MAY-21'!$A$1,MATCH(Sheet1!A1,'MAY-21'!$A:$A,0),0,22,1),{"DCPS","GROSS_ADJUST"},OFFSET('MAY-21'!$A$1,MATCH(Sheet1!A1,'MAY-21'!$A:$A,0),1,22,1))),0)</f>
        <v>0</v>
      </c>
      <c r="I7" s="16">
        <f t="array" aca="1" ref="I7" ca="1">+IFERROR(SUM(SUMIF(OFFSET('MAY-21'!$A$1,MATCH(Sheet1!A1,'MAY-21'!$A:$A,0),0,22,1),{"Arr*","7th Pay* Arr*","Basic Arr.","DA Arr"},OFFSET('MAY-21'!$A$1,MATCH(Sheet1!A1,'MAY-21'!$A:$A,0),1,22,1))),0)</f>
        <v>0</v>
      </c>
      <c r="J7" s="16">
        <f t="shared" ca="1" si="2"/>
        <v>0</v>
      </c>
      <c r="K7" s="16">
        <f ca="1">IFERROR(SUM(SUMIF(OFFSET('MAY-21'!$A$1,MATCH(Sheet1!A1,'MAY-21'!$A:$A,0),2,22,1),{"*Pro*ax*"},OFFSET('MAY-21'!$A$1,MATCH(Sheet1!A1,'MAY-21'!$A:$A,0),3,22,1))),0)</f>
        <v>0</v>
      </c>
      <c r="L7" s="16">
        <f ca="1">IFERROR(SUM(SUMIF(OFFSET('MAY-21'!$A$1,MATCH(Sheet1!A1,'MAY-21'!$A:$A,0),2,22,1),{"GPF_G*","DCPS"},OFFSET('MAY-21'!$A$1,MATCH(Sheet1!A1,'MAY-21'!$A:$A,0),3,22,1))),0)</f>
        <v>0</v>
      </c>
      <c r="M7" s="16">
        <f ca="1">IFERROR(SUM(SUMIF(OFFSET('MAY-21'!$A$1,MATCH(Sheet1!A1,'MAY-21'!$A:$A,0),2,22,1),{"*GIS","GIS*R"},OFFSET('MAY-21'!$A$1,MATCH(Sheet1!A1,'MAY-21'!$A:$A,0),3,22,1))),0)</f>
        <v>0</v>
      </c>
      <c r="N7" s="16">
        <f ca="1">IFERROR(SUM(SUMIF(OFFSET('MAY-21'!$A$1,MATCH(Sheet1!A1,'MAY-21'!$A:$A,0),5,22,1),{"LI*1"},OFFSET('MAY-21'!$A$1,MATCH(Sheet1!A1,'MAY-21'!$A:$A,0),6,22,1))),0)</f>
        <v>0</v>
      </c>
      <c r="O7" s="16">
        <f t="array" aca="1" ref="O7" ca="1">IFERROR(SUM(SUMIF(OFFSET('MAY-21'!$A$1,MATCH(Sheet1!A1,'MAY-21'!$A:$A,0),2,22,1),{"HB*USE","HB*INT"},OFFSET('MAY-21'!$A$1,MATCH(Sheet1!A1,'MAY-21'!$A:$A,0),3,22,1))),0)</f>
        <v>0</v>
      </c>
      <c r="P7" s="16">
        <f t="array" aca="1" ref="P7" ca="1">IFERROR(SUM(SUMIF(OFFSET('MAY-21'!$A$1,MATCH(Sheet1!A1,'MAY-21'!$A:$A,0),5,22,1),{"OTHE*1","CO.*1","OTHE*2","WEL*ND","BAN*1","CLU*ND","RD*1","LI*2","MIS*US","*TAINAN*","MCA*INT*","MAIN*NANCE*","*C M Relief Fund*","Co. Op. Hsg Soc.*","GPF_ADV*","Co. Op. Cr. Soc. 2*","DCPS DA","DCPS Pay","MCA Int"},OFFSET('MAY-21'!$A$1,MATCH(Sheet1!A1,'MAY-21'!$A:$A,0),6,22,1)))+SUM(SUMIF(OFFSET('MAY-21'!$A$1,MATCH(Sheet1!A1,'MAY-21'!$A:$A,0),2,22,1),{"MCA","COM*DV*","HB*ND","CO*SOC","HRR","SRV*H","ACC*CY","F.A","STAMP_REVENUE","*C M Relief Fund*","GPF_ADV*","Co. Op. Cr. Soc. 2*","DCPS DA","DCPS Pay","MCA Int"},OFFSET('MAY-21'!$A$1,MATCH(Sheet1!A1,'MAY-21'!$A:$A,0),3,22,1))),0)</f>
        <v>0</v>
      </c>
      <c r="Q7" s="17">
        <f t="shared" ca="1" si="3"/>
        <v>0</v>
      </c>
      <c r="R7" s="17">
        <f ca="1">IFERROR(SUM(SUMIF(OFFSET('MAY-21'!$A$1,MATCH(Sheet1!A1,'MAY-21'!$A:$A,0),2,22,1),{"*I. *ax*"},OFFSET('MAY-21'!$A$1,MATCH(Sheet1!A1,'MAY-21'!$A:$A,0),3,22,1))),0)</f>
        <v>0</v>
      </c>
      <c r="S7" s="46" t="str">
        <f t="array" aca="1" ref="S7" ca="1">+IFERROR(IF(OFFSET('MAY-21'!$B$1,MATCH(Sheet1!A1,'MAY-21'!B:B,0)-2,0,1,1)=Sheet1!J7,IF(MID(IFERROR(OFFSET('MAY-21'!$B$1,MATCH(Sheet1!A1,'MAY-21'!$B:$B,0)-1,-1,1,1),"GROSS ERROR"),11,FIND(" ",OFFSET('MAY-21'!$B$1,MATCH(Sheet1!A1,'MAY-21'!$B:$B,0)-1,-1,1,1),12)-11)-Q7=0,"","NET MISMATCH"),"GROSS MISMATCH"),"")</f>
        <v/>
      </c>
      <c r="T7" s="47"/>
      <c r="V7" s="18"/>
      <c r="W7" s="7"/>
      <c r="X7" s="18"/>
      <c r="Y7" s="7"/>
      <c r="Z7" s="19"/>
      <c r="AA7" s="49"/>
      <c r="AC7" s="7"/>
      <c r="AD7" s="7"/>
      <c r="AE7" s="7"/>
      <c r="AF7" s="7"/>
      <c r="AG7" s="7"/>
      <c r="AH7" s="7"/>
      <c r="AI7" s="49"/>
      <c r="AJ7" s="49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64" t="str">
        <f>+G2</f>
        <v>PAN</v>
      </c>
      <c r="BI7" s="47">
        <f>+A1</f>
        <v>0</v>
      </c>
      <c r="BJ7" s="18" t="str">
        <f t="array" aca="1" ref="BJ7" ca="1">IFERROR(OFFSET('MAY-21'!$B$1,MATCH(Sheet1!A1,'MAY-21'!$B:$B,0)+1,0,1,1),"")</f>
        <v/>
      </c>
      <c r="BK7" s="64">
        <f t="shared" ca="1" si="0"/>
        <v>0</v>
      </c>
      <c r="BL7" s="18">
        <f t="shared" ca="1" si="1"/>
        <v>0</v>
      </c>
      <c r="BM7" s="7" t="str">
        <f t="array" aca="1" ref="BM7" ca="1">+IFERROR(OFFSET('MAY-21'!$A$1,MATCH(Sheet1!A1,'MAY-21'!$A:$A,0)-2,0,1,1),"")</f>
        <v/>
      </c>
      <c r="BN7" s="7"/>
      <c r="BO7" s="7"/>
    </row>
    <row r="8" spans="1:67" ht="15" customHeight="1" x14ac:dyDescent="0.25">
      <c r="A8" s="14">
        <v>4</v>
      </c>
      <c r="B8" s="15">
        <v>44348</v>
      </c>
      <c r="C8" s="16">
        <f ca="1">IFERROR(SUM(SUMIF(OFFSET('JUN-21'!$A$1,MATCH(Sheet1!A1,'JUN-21'!$A:$A,0),0,22,1),{"BA*C","BASIC??"},OFFSET('JUN-21'!$A$1,MATCH(Sheet1!A1,'JUN-21'!$A:$A,0),1,22,1))),0)</f>
        <v>0</v>
      </c>
      <c r="D8" s="16">
        <f ca="1">IFERROR(SUM(SUMIF(OFFSET('JUN-21'!$A$1,MATCH(Sheet1!A1,'JUN-21'!$A:$A,0),0,22,1),{"DA*C","D. *"},OFFSET('JUN-21'!$A$1,MATCH(Sheet1!A1,'JUN-21'!$A:$A,0),1,22,1))),0)</f>
        <v>0</v>
      </c>
      <c r="E8" s="16">
        <f ca="1">IFERROR(SUM(SUMIF(OFFSET('JUN-21'!$A$1,MATCH(Sheet1!A1,'JUN-21'!$A:$A,0),0,22,1),{"H. R. A."},OFFSET('JUN-21'!$A$1,MATCH(Sheet1!A1,'JUN-21'!$A:$A,0),1,22,1))),0)</f>
        <v>0</v>
      </c>
      <c r="F8" s="16">
        <f t="array" aca="1" ref="F8" ca="1">IFERROR(SUM(SUMIF(OFFSET('JUN-21'!$A$1,MATCH(Sheet1!A1,'JUN-21'!$A:$A,0),0,22,1),{"SP*AY*","S D A*","O.A.*","CLA (5th Pay)*","REF. Allow*","Trans.Allw.*","LF*","P. O.*","ARM*","Conv.A*","Otr.Allow*","Trans_Arrear*","BMIA*","Incentives*","Fit Allow*","KMA","NON-*","U.*","ME*A","PG*","Per.Tra"},OFFSET('JUN-21'!$A$1,MATCH(Sheet1!A1,'JUN-21'!$A:$A,0),1,22,1))),0)</f>
        <v>0</v>
      </c>
      <c r="G8" s="16">
        <f ca="1">IFERROR(SUM(SUMIF(OFFSET('JUN-21'!$A$1,MATCH(Sheet1!A1,'JUN-21'!$A:$A,0),0,22,1),{"WA"},OFFSET('JUN-21'!$A$1,MATCH(Sheet1!A1,'JUN-21'!$A:$A,0),1,22,1))),0)</f>
        <v>0</v>
      </c>
      <c r="H8" s="16">
        <f ca="1">IFERROR(SUM(SUMIF(OFFSET('JUN-21'!$A$1,MATCH(Sheet1!A1,'JUN-21'!$A:$A,0),0,22,1),{"DCPS","GROSS_ADJUST"},OFFSET('JUN-21'!$A$1,MATCH(Sheet1!A1,'JUN-21'!$A:$A,0),1,22,1))),0)</f>
        <v>0</v>
      </c>
      <c r="I8" s="16">
        <f t="array" aca="1" ref="I8" ca="1">+IFERROR(SUM(SUMIF(OFFSET('JUN-21'!$A$1,MATCH(Sheet1!A1,'JUN-21'!$A:$A,0),0,22,1),{"Basic*Arr*","7th Pay* Arr*"},OFFSET('JUN-21'!$A$1,MATCH(Sheet1!A1,'JUN-21'!$A:$A,0),1,22,1))),0)</f>
        <v>0</v>
      </c>
      <c r="J8" s="16">
        <f t="shared" ca="1" si="2"/>
        <v>0</v>
      </c>
      <c r="K8" s="16">
        <f ca="1">IFERROR(SUM(SUMIF(OFFSET('JUN-21'!$A$1,MATCH(Sheet1!A1,'JUN-21'!$A:$A,0),2,22,1),{"*Pro*ax*"},OFFSET('JUN-21'!$A$1,MATCH(Sheet1!A1,'JUN-21'!$A:$A,0),3,22,1))),0)</f>
        <v>0</v>
      </c>
      <c r="L8" s="16">
        <f ca="1">IFERROR(SUM(SUMIF(OFFSET('JUN-21'!$A$1,MATCH(Sheet1!A1,'JUN-21'!$A:$A,0),2,22,1),{"GPF_G*","DCPS"},OFFSET('JUN-21'!$A$1,MATCH(Sheet1!A1,'JUN-21'!$A:$A,0),3,22,1))),0)</f>
        <v>0</v>
      </c>
      <c r="M8" s="16">
        <f ca="1">IFERROR(SUM(SUMIF(OFFSET('JUN-21'!$A$1,MATCH(Sheet1!A1,'JUN-21'!$A:$A,0),2,22,1),{"*GIS","GIS*R"},OFFSET('JUN-21'!$A$1,MATCH(Sheet1!A1,'JUN-21'!$A:$A,0),3,22,1))),0)</f>
        <v>0</v>
      </c>
      <c r="N8" s="16">
        <f ca="1">IFERROR(SUM(SUMIF(OFFSET('JUN-21'!$A$1,MATCH(Sheet1!A1,'JUN-21'!$A:$A,0),5,22,1),{"LI*1"},OFFSET('JUN-21'!$A$1,MATCH(Sheet1!A1,'JUN-21'!$A:$A,0),6,22,1))),0)</f>
        <v>0</v>
      </c>
      <c r="O8" s="16">
        <f t="array" aca="1" ref="O8" ca="1">IFERROR(SUM(SUMIF(OFFSET('JUN-21'!$A$1,MATCH(Sheet1!A1,'JUN-21'!$A:$A,0),2,22,1),{"HB*USE","HB*INT"},OFFSET('JUN-21'!$A$1,MATCH(Sheet1!A1,'JUN-21'!$A:$A,0),3,22,1))),0)</f>
        <v>0</v>
      </c>
      <c r="P8" s="16">
        <f t="array" aca="1" ref="P8" ca="1">IFERROR(SUM(SUMIF(OFFSET('JUN-21'!$A$1,MATCH(Sheet1!A1,'JUN-21'!$A:$A,0),5,22,1),{"OTHE*1","CO.*1","OTHE*2","WEL*ND","BAN*1","CLU*ND","RD*1","LI*2","MIS*US","*TAINAN*","MCA*INT*","MAIN*NANCE*","*C M Relief Fund*","Co. Op. Hsg Soc.*","GPF_ADV*","Co. Op. Cr. Soc. 2*","DCPS DA","DCPS Pay","MCA Int"},OFFSET('JUN-21'!$A$1,MATCH(Sheet1!A1,'JUN-21'!$A:$A,0),6,22,1)))+SUM(SUMIF(OFFSET('JUN-21'!$A$1,MATCH(Sheet1!A1,'JUN-21'!$A:$A,0),2,22,1),{"MCA","COM*DV*","HB*ND","CO*SOC","HRR","SRV*H","ACC*CY","F.A","STAMP_REVENUE","*C M Relief Fund*","GPF_ADV*","Co. Op. Cr. Soc. 2*","DCPS DA","DCPS Pay","MCA Int"},OFFSET('JUN-21'!$A$1,MATCH(Sheet1!A1,'JUN-21'!$A:$A,0),3,22,1))),0)</f>
        <v>0</v>
      </c>
      <c r="Q8" s="17">
        <f t="shared" ca="1" si="3"/>
        <v>0</v>
      </c>
      <c r="R8" s="17">
        <f t="array" aca="1" ref="R8" ca="1">IFERROR(SUM(SUMIF(OFFSET('JUN-21'!$A$1,MATCH(Sheet1!A1,'JUN-21'!$A:$A,0),2,22,1),{"*I. *ax*"},OFFSET('JUN-21'!$A$1,MATCH(Sheet1!A1,'JUN-21'!$A:$A,0),3,22,1))),0)</f>
        <v>0</v>
      </c>
      <c r="S8" s="46" t="str">
        <f t="array" aca="1" ref="S8" ca="1">+IFERROR(IF(OFFSET('JUN-21'!$B$1,MATCH(Sheet1!A1,'JUN-21'!B:B,0)-2,0,1,1)=Sheet1!J8,IF(MID(IFERROR(OFFSET('JUN-21'!$B$1,MATCH(Sheet1!A1,'JUN-21'!$B:$B,0)-1,-1,1,1),"GROSS ERROR"),11,FIND(" ",OFFSET('JUN-21'!$B$1,MATCH(Sheet1!A1,'JUN-21'!$B:$B,0)-1,-1,1,1),12)-11)-Q8=0,"","NET MISMATCH"),"GROSS MISMATCH"),"")</f>
        <v/>
      </c>
      <c r="T8" s="47"/>
      <c r="V8" s="18"/>
      <c r="W8" s="7"/>
      <c r="X8" s="18"/>
      <c r="Y8" s="7"/>
      <c r="Z8" s="19"/>
      <c r="AA8" s="49"/>
      <c r="AC8" s="7"/>
      <c r="AD8" s="7"/>
      <c r="AE8" s="7"/>
      <c r="AF8" s="7"/>
      <c r="AG8" s="7"/>
      <c r="AH8" s="7"/>
      <c r="AI8" s="49"/>
      <c r="AJ8" s="49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64" t="str">
        <f>+G2</f>
        <v>PAN</v>
      </c>
      <c r="BI8" s="47">
        <f>+A1</f>
        <v>0</v>
      </c>
      <c r="BJ8" s="18" t="str">
        <f t="array" aca="1" ref="BJ8" ca="1">IFERROR(OFFSET('JUN-21'!$B$1,MATCH(Sheet1!A1,'JUN-21'!$B:$B,0)+1,0,1,1),"")</f>
        <v/>
      </c>
      <c r="BK8" s="64">
        <f t="shared" ca="1" si="0"/>
        <v>0</v>
      </c>
      <c r="BL8" s="18">
        <f t="shared" ca="1" si="1"/>
        <v>0</v>
      </c>
      <c r="BM8" s="7" t="str">
        <f t="array" aca="1" ref="BM8" ca="1">IFERROR(OFFSET('JUN-21'!$A$1,MATCH(Sheet1!A1,'JUN-21'!$A:$A,0)-2,0,1,1),"")</f>
        <v/>
      </c>
      <c r="BN8" s="7"/>
      <c r="BO8" s="7"/>
    </row>
    <row r="9" spans="1:67" ht="15" customHeight="1" x14ac:dyDescent="0.25">
      <c r="A9" s="14">
        <v>5</v>
      </c>
      <c r="B9" s="15">
        <v>44378</v>
      </c>
      <c r="C9" s="16">
        <f ca="1">IFERROR(SUM(SUMIF(OFFSET('JUL-21'!$A$1,MATCH(Sheet1!A1,'JUL-21'!$A:$A,0),0,22,1),{"BA*C","BASIC??"},OFFSET('JUL-21'!$A$1,MATCH(Sheet1!A1,'JUL-21'!$A:$A,0),1,22,1))),0)</f>
        <v>0</v>
      </c>
      <c r="D9" s="16">
        <f ca="1">IFERROR(SUM(SUMIF(OFFSET('JUL-21'!$A$1,MATCH(Sheet1!A1,'JUL-21'!$A:$A,0),0,22,1),{"DA*C","D. *"},OFFSET('JUL-21'!$A$1,MATCH(Sheet1!A1,'JUL-21'!$A:$A,0),1,22,1))),0)</f>
        <v>0</v>
      </c>
      <c r="E9" s="16">
        <f ca="1">IFERROR(SUM(SUMIF(OFFSET('JUL-21'!$A$1,MATCH(Sheet1!A1,'JUL-21'!$A:$A,0),0,22,1),{"H. R. A."},OFFSET('JUL-21'!$A$1,MATCH(Sheet1!A1,'JUL-21'!$A:$A,0),1,22,1))),0)</f>
        <v>0</v>
      </c>
      <c r="F9" s="16">
        <f t="array" aca="1" ref="F9" ca="1">IFERROR(SUM(SUMIF(OFFSET('JUL-21'!$A$1,MATCH(Sheet1!A1,'JUL-21'!$A:$A,0),0,22,1),{"SP*AY*","S D A*","O.A.*","CLA (5th Pay)*","REF. Allow*","Trans.Allw.*","LF*","P. O.*","ARM*","Conv.A*","Otr.Allow*","Trans_Arrear*","BMIA*","Incentives*","Fit Allow*","KMA","NON-*","U.*","ME*A","PG*","Per.Tra"},OFFSET('JUL-21'!$A$1,MATCH(Sheet1!A1,'JUL-21'!$A:$A,0),1,22,1))),0)</f>
        <v>0</v>
      </c>
      <c r="G9" s="16">
        <f ca="1">IFERROR(SUM(SUMIF(OFFSET('JUL-21'!$A$1,MATCH(Sheet1!A1,'JUL-21'!$A:$A,0),0,22,1),{"WA"},OFFSET('JUL-21'!$A$1,MATCH(Sheet1!A1,'JUL-21'!$A:$A,0),1,22,1))),0)</f>
        <v>0</v>
      </c>
      <c r="H9" s="16">
        <f t="array" aca="1" ref="H9" ca="1">+IFERROR(SUM(SUMIF(OFFSET('JUL-21'!$A$1,MATCH(Sheet1!A1,'JUL-21'!$A:$A,0),0,22,1),{"DCPS","GROSS_ADJUST"},OFFSET('JUL-21'!$A$1,MATCH(Sheet1!A1,'JUL-21'!$A:$A,0),1,22,1))),0)</f>
        <v>0</v>
      </c>
      <c r="I9" s="16">
        <f t="array" aca="1" ref="I9" ca="1">++IFERROR(SUM(SUMIF(OFFSET('JUL-21'!$A$1,MATCH(Sheet1!A1,'JUL-21'!$A:$A,0),0,22,1),{"Basic*Arr*","7th Pay* Arr*"},OFFSET('JUL-21'!$A$1,MATCH(Sheet1!A1,'JUL-21'!$A:$A,0),1,22,1))),0)</f>
        <v>0</v>
      </c>
      <c r="J9" s="16">
        <f t="shared" ca="1" si="2"/>
        <v>0</v>
      </c>
      <c r="K9" s="16">
        <f ca="1">IFERROR(SUM(SUMIF(OFFSET('JUL-21'!$A$1,MATCH(Sheet1!A1,'JUL-21'!$A:$A,0),2,22,1),{"*Pro*ax*"},OFFSET('JUL-21'!$A$1,MATCH(Sheet1!A1,'JUL-21'!$A:$A,0),3,22,1))),0)</f>
        <v>0</v>
      </c>
      <c r="L9" s="16">
        <f ca="1">IFERROR(SUM(SUMIF(OFFSET('JUL-21'!$A$1,MATCH(Sheet1!A1,'JUL-21'!$A:$A,0),2,22,1),{"GPF_G*","DCPS"},OFFSET('JUL-21'!$A$1,MATCH(Sheet1!A1,'JUL-21'!$A:$A,0),3,22,1))),0)</f>
        <v>0</v>
      </c>
      <c r="M9" s="16">
        <f ca="1">IFERROR(SUM(SUMIF(OFFSET('JUL-21'!$A$1,MATCH(Sheet1!A1,'JUL-21'!$A:$A,0),2,22,1),{"*GIS","GIS*R"},OFFSET('JUL-21'!$A$1,MATCH(Sheet1!A1,'JUL-21'!$A:$A,0),3,22,1))),0)</f>
        <v>0</v>
      </c>
      <c r="N9" s="16">
        <f ca="1">IFERROR(SUM(SUMIF(OFFSET('JUL-21'!$A$1,MATCH(Sheet1!A1,'JUL-21'!$A:$A,0),5,22,1),{"LI*1"},OFFSET('JUL-21'!$A$1,MATCH(Sheet1!A1,'JUL-21'!$A:$A,0),6,22,1))),0)</f>
        <v>0</v>
      </c>
      <c r="O9" s="16">
        <f t="array" aca="1" ref="O9" ca="1">IFERROR(SUM(SUMIF(OFFSET('JUL-21'!$A$1,MATCH(Sheet1!A1,'JUL-21'!$A:$A,0),2,22,1),{"HB*USE","HB*INT"},OFFSET('JUL-21'!$A$1,MATCH(Sheet1!A1,'JUL-21'!$A:$A,0),3,22,1))),0)</f>
        <v>0</v>
      </c>
      <c r="P9" s="16">
        <f t="array" aca="1" ref="P9" ca="1">IFERROR(SUM(SUMIF(OFFSET('JUL-21'!$A$1,MATCH(Sheet1!A1,'JUL-21'!$A:$A,0),5,22,1),{"OTHE*1","CO.*1","OTHE*2","WEL*ND","BAN*1","CLU*ND","RD*1","LI*2","MIS*US","*TAINAN*","MCA*INT*","MAIN*NANCE*","*C M Relief Fund*","Co. Op. Hsg Soc.*","GPF_ADV*","Co. Op. Cr. Soc. 2*","DCPS DA","DCPS Pay","MCA Int"},OFFSET('JUL-21'!$A$1,MATCH(Sheet1!A1,'JUL-21'!$A:$A,0),6,22,1)))+SUM(SUMIF(OFFSET('JUL-21'!$A$1,MATCH(Sheet1!A1,'JUL-21'!$A:$A,0),2,22,1),{"MCA","COM*DV*","HB*ND","CO*SOC","HRR","SRV*H","ACC*CY","F.A","STAMP_REVENUE","*C M Relief Fund*","GPF_ADV*","Co. Op. Cr. Soc. 2*","DCPS DA","DCPS Pay","MCA Int"},OFFSET('JUL-21'!$A$1,MATCH(Sheet1!A1,'JUL-21'!$A:$A,0),3,22,1))),0)</f>
        <v>0</v>
      </c>
      <c r="Q9" s="17">
        <f t="shared" ca="1" si="3"/>
        <v>0</v>
      </c>
      <c r="R9" s="17">
        <f ca="1">IFERROR(SUM(SUMIF(OFFSET('JUL-21'!$A$1,MATCH(Sheet1!A1,'JUL-21'!$A:$A,0),2,22,1),{"*I. *ax*"},OFFSET('JUL-21'!$A$1,MATCH(Sheet1!A1,'JUL-21'!$A:$A,0),3,22,1))),0)</f>
        <v>0</v>
      </c>
      <c r="S9" s="46" t="str">
        <f t="array" aca="1" ref="S9" ca="1">+IFERROR(IF(OFFSET('JUL-21'!$B$1,MATCH(Sheet1!A1,'JUL-21'!B:B,0)-2,0,1,1)=Sheet1!J9,IF(MID(IFERROR(OFFSET('JUL-21'!$B$1,MATCH(Sheet1!A1,'JUL-21'!$B:$B,0)-1,-1,1,1),"GROSS ERROR"),11,FIND(" ",OFFSET('JUL-21'!$B$1,MATCH(Sheet1!A1,'JUL-21'!$B:$B,0)-1,-1,1,1),12)-11)-Q9=0,"","NET MISMATCH"),"GROSS MISMATCH"),"")</f>
        <v/>
      </c>
      <c r="T9" s="47"/>
      <c r="V9" s="18"/>
      <c r="W9" s="7"/>
      <c r="X9" s="18"/>
      <c r="Y9" s="7"/>
      <c r="Z9" s="19"/>
      <c r="AA9" s="49"/>
      <c r="AC9" s="7"/>
      <c r="AD9" s="7"/>
      <c r="AE9" s="7"/>
      <c r="AF9" s="7"/>
      <c r="AG9" s="7"/>
      <c r="AH9" s="7"/>
      <c r="AI9" s="49"/>
      <c r="AJ9" s="49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64" t="str">
        <f>+G2</f>
        <v>PAN</v>
      </c>
      <c r="BI9" s="47">
        <f>+A1</f>
        <v>0</v>
      </c>
      <c r="BJ9" s="18" t="str">
        <f t="array" aca="1" ref="BJ9" ca="1">+IFERROR(OFFSET('JUL-21'!$B$1,MATCH(Sheet1!A1,'JUL-21'!$B:$B,0)+1,0,1,1),"")</f>
        <v/>
      </c>
      <c r="BK9" s="64">
        <f t="shared" ca="1" si="0"/>
        <v>0</v>
      </c>
      <c r="BL9" s="18">
        <f t="shared" ca="1" si="1"/>
        <v>0</v>
      </c>
      <c r="BM9" s="7" t="str">
        <f t="array" aca="1" ref="BM9" ca="1">IFERROR(OFFSET('JUL-21'!$A$1,MATCH(Sheet1!A1,'JUL-21'!$A:$A,0)-2,0,1,1),"")</f>
        <v/>
      </c>
      <c r="BN9" s="7"/>
      <c r="BO9" s="7"/>
    </row>
    <row r="10" spans="1:67" ht="15" customHeight="1" x14ac:dyDescent="0.25">
      <c r="A10" s="14">
        <v>6</v>
      </c>
      <c r="B10" s="15">
        <v>44409</v>
      </c>
      <c r="C10" s="16">
        <f ca="1">IFERROR(SUM(SUMIF(OFFSET('AUG-21'!$A$1,MATCH(Sheet1!A1,'AUG-21'!$A:$A,0),0,22,1),{"BA*C","BASIC??"},OFFSET('AUG-21'!$A$1,MATCH(Sheet1!A1,'AUG-21'!$A:$A,0),1,22,1))),0)</f>
        <v>0</v>
      </c>
      <c r="D10" s="16">
        <f ca="1">IFERROR(SUM(SUMIF(OFFSET('AUG-21'!$A$1,MATCH(Sheet1!A1,'AUG-21'!$A:$A,0),0,22,1),{"DA*C","D. *"},OFFSET('AUG-21'!$A$1,MATCH(Sheet1!A1,'AUG-21'!$A:$A,0),1,22,1))),0)</f>
        <v>0</v>
      </c>
      <c r="E10" s="16">
        <f ca="1">IFERROR(SUM(SUMIF(OFFSET('AUG-21'!$A$1,MATCH(Sheet1!A1,'AUG-21'!$A:$A,0),0,22,1),{"H. R. A."},OFFSET('AUG-21'!$A$1,MATCH(Sheet1!A1,'AUG-21'!$A:$A,0),1,22,1))),0)</f>
        <v>0</v>
      </c>
      <c r="F10" s="16">
        <f t="array" aca="1" ref="F10" ca="1">IFERROR(SUM(SUMIF(OFFSET('AUG-21'!$A$1,MATCH(Sheet1!A1,'AUG-21'!$A:$A,0),0,22,1),{"SP*AY*","S D A*","O.A.*","CLA (5th Pay)*","REF. Allow*","Trans.Allw.*","LF*","P. O.*","ARM*","Conv.A*","Otr.Allow*","Trans_Arrear*","BMIA*","Incentives*","Fit Allow*","KMA","NON-*","U.*","ME*A","PG*","Per.Tra"},OFFSET('AUG-21'!$A$1,MATCH(Sheet1!A1,'AUG-21'!$A:$A,0),1,22,1))),0)</f>
        <v>0</v>
      </c>
      <c r="G10" s="16">
        <f ca="1">IFERROR(SUM(SUMIF(OFFSET('AUG-21'!$A$1,MATCH(Sheet1!A1,'AUG-21'!$A:$A,0),0,22,1),{"WA"},OFFSET('AUG-21'!$A$1,MATCH(Sheet1!A1,'AUG-21'!$A:$A,0),1,22,1))),0)</f>
        <v>0</v>
      </c>
      <c r="H10" s="16">
        <f ca="1">IFERROR(SUM(SUMIF(OFFSET('AUG-21'!$A$1,MATCH(Sheet1!A1,'AUG-21'!$A:$A,0),0,22,1),{"DCPS","GROSS_ADJUST"},OFFSET('AUG-21'!$A$1,MATCH(Sheet1!A1,'AUG-21'!$A:$A,0),1,22,1))),0)</f>
        <v>0</v>
      </c>
      <c r="I10" s="16">
        <f t="array" aca="1" ref="I10" ca="1">+IFERROR(SUM(SUMIF(OFFSET('AUG-21'!$A$1,MATCH(Sheet1!A1,'AUG-21'!$A:$A,0),0,22,1),{"7th Pay* Arr*","Basic Arr*","DA Arr"},OFFSET('AUG-21'!$A$1,MATCH(Sheet1!A1,'AUG-21'!$A:$A,0),1,22,1))),0)</f>
        <v>0</v>
      </c>
      <c r="J10" s="16">
        <f t="shared" ca="1" si="2"/>
        <v>0</v>
      </c>
      <c r="K10" s="16">
        <f ca="1">IFERROR(SUM(SUMIF(OFFSET('AUG-21'!$A$1,MATCH(Sheet1!A1,'AUG-21'!$A:$A,0),2,22,1),{"*Pro*ax*"},OFFSET('AUG-21'!$A$1,MATCH(Sheet1!A1,'AUG-21'!$A:$A,0),3,22,1))),0)</f>
        <v>0</v>
      </c>
      <c r="L10" s="16">
        <f ca="1">IFERROR(SUM(SUMIF(OFFSET('AUG-21'!$A$1,MATCH(Sheet1!A1,'AUG-21'!$A:$A,0),2,22,1),{"GPF_G*","DCPS","*7thPay GP*"},OFFSET('AUG-21'!$A$1,MATCH(Sheet1!A1,'AUG-21'!$A:$A,0),3,22,1))),0)</f>
        <v>0</v>
      </c>
      <c r="M10" s="16">
        <f ca="1">IFERROR(SUM(SUMIF(OFFSET('AUG-21'!$A$1,MATCH(Sheet1!A1,'AUG-21'!$A:$A,0),2,22,1),{"*GIS","GIS*R"},OFFSET('AUG-21'!$A$1,MATCH(Sheet1!A1,'AUG-21'!$A:$A,0),3,22,1))),0)</f>
        <v>0</v>
      </c>
      <c r="N10" s="16">
        <f ca="1">IFERROR(SUM(SUMIF(OFFSET('AUG-21'!$A$1,MATCH(Sheet1!A1,'AUG-21'!$A:$A,0),5,22,1),{"LI*1"},OFFSET('AUG-21'!$A$1,MATCH(Sheet1!A1,'AUG-21'!$A:$A,0),6,22,1))),0)</f>
        <v>0</v>
      </c>
      <c r="O10" s="16">
        <f t="array" aca="1" ref="O10" ca="1">IFERROR(SUM(SUMIF(OFFSET('AUG-21'!$A$1,MATCH(Sheet1!A1,'AUG-21'!$A:$A,0),2,22,1),{"HB*USE","HB*INT"},OFFSET('AUG-21'!$A$1,MATCH(Sheet1!A1,'AUG-21'!$A:$A,0),3,22,1))),0)</f>
        <v>0</v>
      </c>
      <c r="P10" s="16">
        <f t="array" aca="1" ref="P10" ca="1">IFERROR(SUM(SUMIF(OFFSET('AUG-21'!$A$1,MATCH(Sheet1!A1,'AUG-21'!$A:$A,0),5,22,1),{"OTHE*1","CO.*1","OTHE*2","WEL*ND","BAN*1","CLU*ND","RD*1","LI*2","MIS*US","*TAINAN*","MCA*INT*","MAIN*NANCE*","*C M Relief Fund*","Co. Op. Hsg Soc.*","GPF_ADV*","Co. Op. Cr. Soc. 2*","DCPS DA","DCPS Pay","MCA Int"},OFFSET('AUG-21'!$A$1,MATCH(Sheet1!A1,'AUG-21'!$A:$A,0),6,22,1)))+SUM(SUMIF(OFFSET('AUG-21'!$A$1,MATCH(Sheet1!A1,'AUG-21'!$A:$A,0),2,22,1),{"MCA","COM*DV*","HB*ND","CO*SOC","HRR","SRV*H","ACC*CY","F.A","STAMP_REVENUE","*C M Relief Fund*","GPF_ADV*","Co. Op. Cr. Soc. 2*","DCPS DA","DCPS Pay","MCA Int"},OFFSET('AUG-21'!$A$1,MATCH(Sheet1!A1,'AUG-21'!$A:$A,0),3,22,1))),0)</f>
        <v>0</v>
      </c>
      <c r="Q10" s="17">
        <f t="shared" ca="1" si="3"/>
        <v>0</v>
      </c>
      <c r="R10" s="17">
        <f t="array" aca="1" ref="R10" ca="1">IFERROR(SUM(SUMIF(OFFSET('AUG-21'!$A$1,MATCH(Sheet1!A1,'AUG-21'!$A:$A,0),2,22,1),{"*I. *ax*"},OFFSET('AUG-21'!$A$1,MATCH(Sheet1!A1,'AUG-21'!$A:$A,0),3,22,1))),0)</f>
        <v>0</v>
      </c>
      <c r="S10" s="46" t="str">
        <f t="array" aca="1" ref="S10" ca="1">+IFERROR(IF(OFFSET('AUG-21'!$B$1,MATCH(Sheet1!A1,'AUG-21'!B:B,0)-2,0,1,1)=Sheet1!J10,IF(MID(IFERROR(OFFSET('AUG-21'!$B$1,MATCH(Sheet1!A1,'AUG-21'!$B:$B,0)-1,-1,1,1),"GROSS ERROR"),11,FIND(" ",OFFSET('AUG-21'!$B$1,MATCH(Sheet1!A1,'AUG-21'!$B:$B,0)-1,-1,1,1),12)-11)-Q10=0,"","NET MISMATCH"),"GROSS MISMATCH"),"")</f>
        <v/>
      </c>
      <c r="T10" s="47"/>
      <c r="V10" s="18"/>
      <c r="W10" s="7"/>
      <c r="X10" s="18"/>
      <c r="Y10" s="7"/>
      <c r="Z10" s="19"/>
      <c r="AA10" s="49"/>
      <c r="AC10" s="7"/>
      <c r="AD10" s="7"/>
      <c r="AE10" s="7"/>
      <c r="AF10" s="7"/>
      <c r="AG10" s="7"/>
      <c r="AH10" s="7"/>
      <c r="AI10" s="49"/>
      <c r="AJ10" s="49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64" t="str">
        <f>+G2</f>
        <v>PAN</v>
      </c>
      <c r="BI10" s="47">
        <f>+A1</f>
        <v>0</v>
      </c>
      <c r="BJ10" s="18" t="str">
        <f t="array" aca="1" ref="BJ10" ca="1">IFERROR(OFFSET('AUG-21'!$B$1,MATCH(Sheet1!A1,'AUG-21'!$B:$B,0)+1,0,1,1),"")</f>
        <v/>
      </c>
      <c r="BK10" s="64">
        <f t="shared" ca="1" si="0"/>
        <v>0</v>
      </c>
      <c r="BL10" s="18">
        <f t="shared" ca="1" si="1"/>
        <v>0</v>
      </c>
      <c r="BM10" s="7" t="str">
        <f t="array" aca="1" ref="BM10" ca="1">IFERROR(OFFSET('AUG-21'!$A$1,MATCH(Sheet1!A1,'AUG-21'!$A:$A,0)-2,0,1,1),"")</f>
        <v/>
      </c>
      <c r="BN10" s="7"/>
      <c r="BO10" s="7"/>
    </row>
    <row r="11" spans="1:67" ht="15" customHeight="1" x14ac:dyDescent="0.25">
      <c r="A11" s="14">
        <v>7</v>
      </c>
      <c r="B11" s="15">
        <v>44440</v>
      </c>
      <c r="C11" s="16">
        <f ca="1">IFERROR(SUM(SUMIF(OFFSET('SEP-21'!$A$1,MATCH(Sheet1!A1,'SEP-21'!$A:$A,0),0,22,1),{"BA*C","BASIC??"},OFFSET('SEP-21'!$A$1,MATCH(Sheet1!A1,'SEP-21'!$A:$A,0),1,22,1))),0)</f>
        <v>0</v>
      </c>
      <c r="D11" s="16">
        <f ca="1">IFERROR(SUM(SUMIF(OFFSET('SEP-21'!$A$1,MATCH(Sheet1!A1,'SEP-21'!$A:$A,0),0,22,1),{"DA*C","D. *"},OFFSET('SEP-21'!$A$1,MATCH(Sheet1!A1,'SEP-21'!$A:$A,0),1,22,1))),0)</f>
        <v>0</v>
      </c>
      <c r="E11" s="16">
        <f ca="1">IFERROR(SUM(SUMIF(OFFSET('SEP-21'!$A$1,MATCH(Sheet1!A1,'SEP-21'!$A:$A,0),0,22,1),{"H. R. A."},OFFSET('SEP-21'!$A$1,MATCH(Sheet1!A1,'SEP-21'!$A:$A,0),1,22,1))),0)</f>
        <v>0</v>
      </c>
      <c r="F11" s="16">
        <f t="array" aca="1" ref="F11" ca="1">IFERROR(SUM(SUMIF(OFFSET('SEP-21'!$A$1,MATCH(Sheet1!A1,'SEP-21'!$A:$A,0),0,22,1),{"SP*AY*","S D A*","O.A.*","CLA (5th Pay)*","REF. Allow*","Trans.Allw.*","LF*","P. O.*","ARM*","Conv.A*","Otr.Allow*","Trans_Arrear*","BMIA*","Incentives*","Fit Allow*","KMA","NON-*","U.*","ME*A","PG*","Per.Tra"},OFFSET('SEP-21'!$A$1,MATCH(Sheet1!A1,'SEP-21'!$A:$A,0),1,22,1))),0)</f>
        <v>0</v>
      </c>
      <c r="G11" s="16">
        <f ca="1">IFERROR(SUM(SUMIF(OFFSET('SEP-21'!$A$1,MATCH(Sheet1!A1,'SEP-21'!$A:$A,0),0,22,1),{"WA"},OFFSET('SEP-21'!$A$1,MATCH(Sheet1!A1,'SEP-21'!$A:$A,0),1,22,1))),0)</f>
        <v>0</v>
      </c>
      <c r="H11" s="16">
        <f ca="1">IFERROR(SUM(SUMIF(OFFSET('SEP-21'!$A$1,MATCH(Sheet1!A1,'SEP-21'!$A:$A,0),0,22,1),{"DCPS","GROSS_ADJUST"},OFFSET('SEP-21'!$A$1,MATCH(Sheet1!A1,'SEP-21'!$A:$A,0),1,22,1))),0)</f>
        <v>0</v>
      </c>
      <c r="I11" s="16">
        <f t="array" aca="1" ref="I11" ca="1">++IFERROR(SUM(SUMIF(OFFSET('SEP-21'!$A$1,MATCH(Sheet1!A1,'SEP-21'!$A:$A,0),0,22,1),{"Basic*Arr*","7th Pay* Arr*"},OFFSET('SEP-21'!$A$1,MATCH(Sheet1!A1,'SEP-21'!$A:$A,0),1,22,1))),0)</f>
        <v>0</v>
      </c>
      <c r="J11" s="16">
        <f t="shared" ca="1" si="2"/>
        <v>0</v>
      </c>
      <c r="K11" s="16">
        <f ca="1">IFERROR(SUM(SUMIF(OFFSET('SEP-21'!$A$1,MATCH(Sheet1!A1,'SEP-21'!$A:$A,0),2,22,1),{"*Pro*ax*"},OFFSET('SEP-21'!$A$1,MATCH(Sheet1!A1,'SEP-21'!$A:$A,0),3,22,1))),0)</f>
        <v>0</v>
      </c>
      <c r="L11" s="16">
        <f ca="1">IFERROR(SUM(SUMIF(OFFSET('SEP-21'!$A$1,MATCH(Sheet1!A1,'SEP-21'!$A:$A,0),2,22,1),{"GPF_G*","DCPS"},OFFSET('SEP-21'!$A$1,MATCH(Sheet1!A1,'SEP-21'!$A:$A,0),3,22,1))),0)</f>
        <v>0</v>
      </c>
      <c r="M11" s="16">
        <f ca="1">IFERROR(SUM(SUMIF(OFFSET('SEP-21'!$A$1,MATCH(Sheet1!A1,'SEP-21'!$A:$A,0),2,22,1),{"*GIS","GIS*R"},OFFSET('SEP-21'!$A$1,MATCH(Sheet1!A1,'SEP-21'!$A:$A,0),3,22,1))),0)</f>
        <v>0</v>
      </c>
      <c r="N11" s="16">
        <f ca="1">IFERROR(SUM(SUMIF(OFFSET('SEP-21'!$A$1,MATCH(Sheet1!A1,'SEP-21'!$A:$A,0),5,22,1),{"LI*1"},OFFSET('SEP-21'!$A$1,MATCH(Sheet1!A1,'SEP-21'!$A:$A,0),6,22,1))),0)</f>
        <v>0</v>
      </c>
      <c r="O11" s="16">
        <f t="array" aca="1" ref="O11" ca="1">IFERROR(SUM(SUMIF(OFFSET('SEP-21'!$A$1,MATCH(Sheet1!A1,'SEP-21'!$A:$A,0),2,22,1),{"HB*USE","HB*INT"},OFFSET('SEP-21'!$A$1,MATCH(Sheet1!A1,'SEP-21'!$A:$A,0),3,22,1))),0)</f>
        <v>0</v>
      </c>
      <c r="P11" s="16">
        <f t="array" aca="1" ref="P11" ca="1">IFERROR(SUM(SUMIF(OFFSET('SEP-21'!$A$1,MATCH(Sheet1!A1,'SEP-21'!$A:$A,0),5,22,1),{"OTHE*1","CO.*1","OTHE*2","WEL*ND","BAN*1","CLU*ND","RD*1","LI*2","MIS*US","*TAINAN*","MCA*INT*","MAIN*NANCE*","*C M Relief Fund*","Co. Op. Hsg Soc.*","GPF_ADV*","Co. Op. Cr. Soc. 2*","DCPS DA","DCPS Pay","MCA Int"},OFFSET('SEP-21'!$A$1,MATCH(Sheet1!A1,'SEP-21'!$A:$A,0),6,22,1)))+SUM(SUMIF(OFFSET('SEP-21'!$A$1,MATCH(Sheet1!A1,'SEP-21'!$A:$A,0),2,22,1),{"MCA","COM*DV*","HB*ND","CO*SOC","HRR","SRV*H","ACC*CY","F.A","STAMP_REVENUE","*C M Relief Fund*","GPF_ADV*","Co. Op. Cr. Soc. 2*","DCPS DA","DCPS Pay","MCA Int"},OFFSET('SEP-21'!$A$1,MATCH(Sheet1!A1,'SEP-21'!$A:$A,0),3,22,1))),0)</f>
        <v>0</v>
      </c>
      <c r="Q11" s="17">
        <f t="shared" ref="Q11:Q17" ca="1" si="4">+J11-H11-K11-L11-M11-N11-O11-P11-R11</f>
        <v>0</v>
      </c>
      <c r="R11" s="17">
        <f t="array" aca="1" ref="R11" ca="1">IFERROR(SUM(SUMIF(OFFSET('SEP-21'!$A$1,MATCH(Sheet1!A1,'SEP-21'!$A:$A,0),2,22,1),{"*I. *ax*"},OFFSET('SEP-21'!$A$1,MATCH(Sheet1!A1,'SEP-21'!$A:$A,0),3,22,1))),0)</f>
        <v>0</v>
      </c>
      <c r="S11" s="46" t="str">
        <f t="array" aca="1" ref="S11" ca="1">+IFERROR(IF(OFFSET('SEP-21'!$B$1,MATCH(Sheet1!A1,'SEP-21'!B:B,0)-2,0,1,1)=Sheet1!J11,IF(MID(IFERROR(OFFSET('SEP-21'!$B$1,MATCH(Sheet1!A1,'SEP-21'!$B:$B,0)-1,-1,1,1),"GROSS ERROR"),11,FIND(" ",OFFSET('SEP-21'!$B$1,MATCH(Sheet1!A1,'SEP-21'!$B:$B,0)-1,-1,1,1),12)-11)-Q11=0,"","NET MISMATCH"),"GROSS MISMATCH"),"")</f>
        <v/>
      </c>
      <c r="T11" s="47"/>
      <c r="V11" s="18"/>
      <c r="W11" s="7"/>
      <c r="X11" s="18"/>
      <c r="Y11" s="7"/>
      <c r="Z11" s="19"/>
      <c r="AA11" s="49"/>
      <c r="AC11" s="7"/>
      <c r="AD11" s="7"/>
      <c r="AE11" s="7"/>
      <c r="AF11" s="7"/>
      <c r="AG11" s="7"/>
      <c r="AH11" s="7"/>
      <c r="AI11" s="49"/>
      <c r="AJ11" s="49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64" t="str">
        <f>+G2</f>
        <v>PAN</v>
      </c>
      <c r="BI11" s="47">
        <f>+A1</f>
        <v>0</v>
      </c>
      <c r="BJ11" s="18" t="str">
        <f t="array" aca="1" ref="BJ11" ca="1">IFERROR(OFFSET('SEP-21'!$B$1,MATCH(Sheet1!A1,'SEP-21'!$B:$B,0)+1,0,1,1),"")</f>
        <v/>
      </c>
      <c r="BK11" s="64">
        <f t="shared" ca="1" si="0"/>
        <v>0</v>
      </c>
      <c r="BL11" s="18">
        <f t="shared" ca="1" si="1"/>
        <v>0</v>
      </c>
      <c r="BM11" s="7" t="str">
        <f t="array" aca="1" ref="BM11" ca="1">IFERROR(OFFSET('SEP-21'!$A$1,MATCH(Sheet1!A1,'SEP-21'!$A:$A,0)-2,0,1,1),"")</f>
        <v/>
      </c>
      <c r="BN11" s="7"/>
      <c r="BO11" s="7"/>
    </row>
    <row r="12" spans="1:67" ht="15" customHeight="1" x14ac:dyDescent="0.25">
      <c r="A12" s="14">
        <v>8</v>
      </c>
      <c r="B12" s="15">
        <v>44470</v>
      </c>
      <c r="C12" s="16">
        <f ca="1">IFERROR(SUM(SUMIF(OFFSET('OCT-21'!$A$1,MATCH(Sheet1!A1,'OCT-21'!$A:$A,0),0,22,1),{"BA*C","BASIC??"},OFFSET('OCT-21'!$A$1,MATCH(Sheet1!A1,'OCT-21'!$A:$A,0),1,22,1))),0)</f>
        <v>0</v>
      </c>
      <c r="D12" s="16">
        <f ca="1">IFERROR(SUM(SUMIF(OFFSET('OCT-21'!$A$1,MATCH(Sheet1!A1,'OCT-21'!$A:$A,0),0,22,1),{"DA*C","D. *"},OFFSET('OCT-21'!$A$1,MATCH(Sheet1!A1,'OCT-21'!$A:$A,0),1,22,1))),0)</f>
        <v>0</v>
      </c>
      <c r="E12" s="16">
        <f ca="1">IFERROR(SUM(SUMIF(OFFSET('OCT-21'!$A$1,MATCH(Sheet1!A1,'OCT-21'!$A:$A,0),0,22,1),{"H. R. A."},OFFSET('OCT-21'!$A$1,MATCH(Sheet1!A1,'OCT-21'!$A:$A,0),1,22,1))),0)</f>
        <v>0</v>
      </c>
      <c r="F12" s="16">
        <f t="array" aca="1" ref="F12" ca="1">IFERROR(SUM(SUMIF(OFFSET('OCT-21'!$A$1,MATCH(Sheet1!A1,'OCT-21'!$A:$A,0),0,22,1),{"SP*AY*","S D A*","O.A.*","CLA (5th Pay)*","REF. Allow*","Trans.Allw.*","LF*","P. O.*","ARM*","Conv.A*","Otr.Allow*","Trans_Arrear*","BMIA*","Incentives*","Fit Allow*","KMA","NON-*","U.*","ME*A","PG*","Per.Tra"},OFFSET('OCT-21'!$A$1,MATCH(Sheet1!A1,'OCT-21'!$A:$A,0),1,22,1))),0)</f>
        <v>0</v>
      </c>
      <c r="G12" s="16">
        <f ca="1">IFERROR(SUM(SUMIF(OFFSET('OCT-21'!$A$1,MATCH(Sheet1!A1,'OCT-21'!$A:$A,0),0,22,1),{"WA"},OFFSET('OCT-21'!$A$1,MATCH(Sheet1!A1,'OCT-21'!$A:$A,0),1,22,1))),0)</f>
        <v>0</v>
      </c>
      <c r="H12" s="16">
        <f ca="1">IFERROR(SUM(SUMIF(OFFSET('OCT-21'!$A$1,MATCH(Sheet1!A1,'OCT-21'!$A:$A,0),0,22,1),{"DCPS","GROSS_ADJUST"},OFFSET('OCT-21'!$A$1,MATCH(Sheet1!A1,'OCT-21'!$A:$A,0),1,22,1))),0)</f>
        <v>0</v>
      </c>
      <c r="I12" s="16">
        <f t="array" aca="1" ref="I12" ca="1">+IFERROR(SUM(SUMIF(OFFSET('OCT-21'!$A$1,MATCH(Sheet1!A1,'OCT-21'!$A:$A,0),0,22,1),{"Basic*Arr*","7th Pay* Arr*","DA Arr"},OFFSET('OCT-21'!$A$1,MATCH(Sheet1!A1,'OCT-21'!$A:$A,0),1,22,1))),0)</f>
        <v>0</v>
      </c>
      <c r="J12" s="16">
        <f t="shared" ca="1" si="2"/>
        <v>0</v>
      </c>
      <c r="K12" s="16">
        <f ca="1">IFERROR(SUM(SUMIF(OFFSET('OCT-21'!$A$1,MATCH(Sheet1!A1,'OCT-21'!$A:$A,0),2,22,1),{"*Pro*ax*"},OFFSET('OCT-21'!$A$1,MATCH(Sheet1!A1,'OCT-21'!$A:$A,0),3,22,1))),0)</f>
        <v>0</v>
      </c>
      <c r="L12" s="16">
        <f t="array" aca="1" ref="L12" ca="1">IFERROR(SUM(SUMIF(OFFSET('OCT-21'!$A$1,MATCH(Sheet1!A1,'OCT-21'!$A:$A,0),2,22,1),{"GPF_G*","DCPS","DCPS DA*"},OFFSET('OCT-21'!$A$1,MATCH(Sheet1!A1,'OCT-21'!$A:$A,0),3,22,1))),0)</f>
        <v>0</v>
      </c>
      <c r="M12" s="16">
        <f ca="1">IFERROR(SUM(SUMIF(OFFSET('OCT-21'!$A$1,MATCH(Sheet1!A1,'OCT-21'!$A:$A,0),2,22,1),{"*GIS","GIS*R"},OFFSET('OCT-21'!$A$1,MATCH(Sheet1!A1,'OCT-21'!$A:$A,0),3,22,1))),0)</f>
        <v>0</v>
      </c>
      <c r="N12" s="16">
        <f ca="1">IFERROR(SUM(SUMIF(OFFSET('OCT-21'!$A$1,MATCH(Sheet1!A1,'OCT-21'!$A:$A,0),5,22,1),{"LI*1"},OFFSET('OCT-21'!$A$1,MATCH(Sheet1!A1,'OCT-21'!$A:$A,0),6,22,1))),0)</f>
        <v>0</v>
      </c>
      <c r="O12" s="16">
        <f t="array" aca="1" ref="O12" ca="1">IFERROR(SUM(SUMIF(OFFSET('OCT-21'!$A$1,MATCH(Sheet1!A1,'OCT-21'!$A:$A,0),2,22,1),{"HB*USE","HB*INT"},OFFSET('OCT-21'!$A$1,MATCH(Sheet1!A1,'OCT-21'!$A:$A,0),3,22,1))),0)</f>
        <v>0</v>
      </c>
      <c r="P12" s="16">
        <f t="array" aca="1" ref="P12" ca="1">IFERROR(SUM(SUMIF(OFFSET('OCT-21'!$A$1,MATCH(Sheet1!A1,'OCT-21'!$A:$A,0),5,22,1),{"OTHE*1","CO.*1","OTHE*2","WEL*ND","BAN*1","CLU*ND","RD*1","LI*2","MIS*US","*TAINAN*","MCA*INT*","MAIN*NANCE*","*C M Relief Fund*","Co. Op. Hsg Soc.*","GPF_ADV*","Co. Op. Cr. Soc. 2*","DCPS Pay"},OFFSET('OCT-21'!$A$1,MATCH(Sheet1!A1,'OCT-21'!$A:$A,0),6,22,1)))+SUM(SUMIF(OFFSET('OCT-21'!$A$1,MATCH(Sheet1!A1,'OCT-21'!$A:$A,0),2,22,1),{"MCA","COM*DV*","HB*ND","CO*SOC","HRR","SRV*H","ACC*CY","F.A","STAMP_REVENUE","*C M Relief Fund*","GPF_ADV*","Co. Op. Cr. Soc. 2*","DCPS Pay"},OFFSET('OCT-21'!$A$1,MATCH(Sheet1!A1,'OCT-21'!$A:$A,0),3,22,1))),0)</f>
        <v>0</v>
      </c>
      <c r="Q12" s="17">
        <f t="shared" ca="1" si="4"/>
        <v>0</v>
      </c>
      <c r="R12" s="17">
        <f t="array" aca="1" ref="R12" ca="1">IFERROR(SUM(SUMIF(OFFSET('OCT-21'!$A$1,MATCH(Sheet1!A1,'OCT-21'!$A:$A,0),2,22,1),{"*I. *ax*"},OFFSET('OCT-21'!$A$1,MATCH(Sheet1!A1,'OCT-21'!$A:$A,0),3,22,1))),0)</f>
        <v>0</v>
      </c>
      <c r="S12" s="46" t="str">
        <f t="array" aca="1" ref="S12" ca="1">+IFERROR(IF(OFFSET('OCT-21'!$B$1,MATCH(Sheet1!A1,'OCT-21'!B:B,0)-2,0,1,1)=Sheet1!J12,IF(MID(IFERROR(OFFSET('OCT-21'!$B$1,MATCH(Sheet1!A1,'OCT-21'!$B:$B,0)-1,-1,1,1),"GROSS ERROR"),11,FIND(" ",OFFSET('OCT-21'!$B$1,MATCH(Sheet1!A1,'OCT-21'!$B:$B,0)-1,-1,1,1),12)-11)-Q12=0,"","NET MISMATCH"),"GROSS MISMATCH"),"")</f>
        <v/>
      </c>
      <c r="T12" s="47"/>
      <c r="V12" s="18"/>
      <c r="W12" s="7"/>
      <c r="X12" s="18"/>
      <c r="Y12" s="7"/>
      <c r="Z12" s="19"/>
      <c r="AA12" s="49"/>
      <c r="AC12" s="7"/>
      <c r="AD12" s="7"/>
      <c r="AE12" s="7"/>
      <c r="AF12" s="7"/>
      <c r="AG12" s="7"/>
      <c r="AH12" s="7"/>
      <c r="AI12" s="49"/>
      <c r="AJ12" s="49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64" t="str">
        <f>+G2</f>
        <v>PAN</v>
      </c>
      <c r="BI12" s="47">
        <f>+A1</f>
        <v>0</v>
      </c>
      <c r="BJ12" s="18" t="str">
        <f t="array" aca="1" ref="BJ12" ca="1">+IFERROR(OFFSET('OCT-21'!$B$1,MATCH(Sheet1!A1,'OCT-21'!$B:$B,0)+1,0,1,1),"")</f>
        <v/>
      </c>
      <c r="BK12" s="64">
        <f t="shared" ca="1" si="0"/>
        <v>0</v>
      </c>
      <c r="BL12" s="18">
        <f t="shared" ca="1" si="1"/>
        <v>0</v>
      </c>
      <c r="BM12" s="7" t="str">
        <f t="array" aca="1" ref="BM12" ca="1">IFERROR(OFFSET('OCT-21'!$A$1,MATCH(Sheet1!A1,'OCT-21'!$A:$A,0)-2,0,1,1),"")</f>
        <v/>
      </c>
      <c r="BN12" s="7"/>
      <c r="BO12" s="7"/>
    </row>
    <row r="13" spans="1:67" ht="15" customHeight="1" x14ac:dyDescent="0.25">
      <c r="A13" s="14">
        <v>9</v>
      </c>
      <c r="B13" s="15">
        <v>44501</v>
      </c>
      <c r="C13" s="16">
        <f ca="1">IFERROR(SUM(SUMIF(OFFSET('NOV-21'!$A$1,MATCH(Sheet1!A1,'NOV-21'!$A:$A,0),0,22,1),{"BA*C","BASIC??"},OFFSET('NOV-21'!$A$1,MATCH(Sheet1!A1,'NOV-21'!$A:$A,0),1,22,1))),0)</f>
        <v>0</v>
      </c>
      <c r="D13" s="16">
        <f ca="1">IFERROR(SUM(SUMIF(OFFSET('NOV-21'!$A$1,MATCH(Sheet1!A1,'NOV-21'!$A:$A,0),0,22,1),{"DA*C","D. *"},OFFSET('NOV-21'!$A$1,MATCH(Sheet1!A1,'NOV-21'!$A:$A,0),1,22,1))),0)</f>
        <v>0</v>
      </c>
      <c r="E13" s="16">
        <f ca="1">IFERROR(SUM(SUMIF(OFFSET('NOV-21'!$A$1,MATCH(Sheet1!A1,'NOV-21'!$A:$A,0),0,22,1),{"H. R. A."},OFFSET('NOV-21'!$A$1,MATCH(Sheet1!A1,'NOV-21'!$A:$A,0),1,22,1))),0)</f>
        <v>0</v>
      </c>
      <c r="F13" s="16">
        <f t="array" aca="1" ref="F13" ca="1">IFERROR(SUM(SUMIF(OFFSET('NOV-21'!$A$1,MATCH(Sheet1!A1,'NOV-21'!$A:$A,0),0,22,1),{"SP*AY*","S D A*","O.A.*","CLA (5th Pay)*","REF. Allow*","Trans.Allw.*","LF*","P. O.*","ARM*","Conv.A*","Otr.Allow*","Trans_Arrear*","BMIA*","Incentives*","Fit Allow*","KMA","NON-*","U.*","ME*A","PG*","Per.Tra"},OFFSET('NOV-21'!$A$1,MATCH(Sheet1!A1,'NOV-21'!$A:$A,0),1,22,1))),0)</f>
        <v>0</v>
      </c>
      <c r="G13" s="16">
        <f ca="1">IFERROR(SUM(SUMIF(OFFSET('NOV-21'!$A$1,MATCH(Sheet1!A1,'NOV-21'!$A:$A,0),0,22,1),{"WA"},OFFSET('NOV-21'!$A$1,MATCH(Sheet1!A1,'NOV-21'!$A:$A,0),1,22,1))),0)</f>
        <v>0</v>
      </c>
      <c r="H13" s="16">
        <f ca="1">IFERROR(SUM(SUMIF(OFFSET('NOV-21'!$A$1,MATCH(Sheet1!A1,'NOV-21'!$A:$A,0),0,22,1),{"DCPS","GROSS_ADJUST"},OFFSET('NOV-21'!$A$1,MATCH(Sheet1!A1,'NOV-21'!$A:$A,0),1,22,1))),0)</f>
        <v>0</v>
      </c>
      <c r="I13" s="16">
        <f t="array" aca="1" ref="I13" ca="1">+IFERROR(SUM(SUMIF(OFFSET('NOV-21'!$A$1,MATCH(Sheet1!A1,'NOV-21'!$A:$A,0),0,22,1),{"Basic*Arr*","7th Pay* Arr*","DA Arr"},OFFSET('NOV-21'!$A$1,MATCH(Sheet1!A1,'NOV-21'!$A:$A,0),1,22,1))),0)</f>
        <v>0</v>
      </c>
      <c r="J13" s="16">
        <f t="shared" ca="1" si="2"/>
        <v>0</v>
      </c>
      <c r="K13" s="16">
        <f ca="1">IFERROR(SUM(SUMIF(OFFSET('NOV-21'!$A$1,MATCH(Sheet1!A1,'NOV-21'!$A:$A,0),2,22,1),{"*Pro*ax*"},OFFSET('NOV-21'!$A$1,MATCH(Sheet1!A1,'NOV-21'!$A:$A,0),3,22,1))),0)</f>
        <v>0</v>
      </c>
      <c r="L13" s="16">
        <f ca="1">IFERROR(SUM(SUMIF(OFFSET('NOV-21'!$A$1,MATCH(Sheet1!A1,'NOV-21'!$A:$A,0),2,22,1),{"GPF_G*","DCPS"},OFFSET('NOV-21'!$A$1,MATCH(Sheet1!A1,'NOV-21'!$A:$A,0),3,22,1))),0)</f>
        <v>0</v>
      </c>
      <c r="M13" s="16">
        <f ca="1">IFERROR(SUM(SUMIF(OFFSET('NOV-21'!$A$1,MATCH(Sheet1!A1,'NOV-21'!$A:$A,0),2,22,1),{"*GIS","GIS*R"},OFFSET('NOV-21'!$A$1,MATCH(Sheet1!A1,'NOV-21'!$A:$A,0),3,22,1))),0)</f>
        <v>0</v>
      </c>
      <c r="N13" s="16">
        <f ca="1">IFERROR(SUM(SUMIF(OFFSET('NOV-21'!$A$1,MATCH(Sheet1!A1,'NOV-21'!$A:$A,0),5,22,1),{"LI*1"},OFFSET('NOV-21'!$A$1,MATCH(Sheet1!A1,'NOV-21'!$A:$A,0),6,22,1))),0)</f>
        <v>0</v>
      </c>
      <c r="O13" s="16">
        <f t="array" aca="1" ref="O13" ca="1">IFERROR(SUM(SUMIF(OFFSET('NOV-21'!$A$1,MATCH(Sheet1!A1,'NOV-21'!$A:$A,0),2,22,1),{"HB*USE","HB*INT"},OFFSET('NOV-21'!$A$1,MATCH(Sheet1!A1,'NOV-21'!$A:$A,0),3,22,1))),0)</f>
        <v>0</v>
      </c>
      <c r="P13" s="16">
        <f t="array" aca="1" ref="P13" ca="1">IFERROR(SUM(SUMIF(OFFSET('NOV-21'!$A$1,MATCH(Sheet1!A1,'NOV-21'!$A:$A,0),5,22,1),{"OTHE*1","CO.*1","OTHE*2","WEL*ND","BAN*1","CLU*ND","RD*1","LI*2","MIS*US","*TAINAN*","MCA*INT*","MAIN*NANCE*","*C M Relief Fund*","Co. Op. Hsg Soc.*","GPF_ADV*","Co. Op. Cr. Soc. 2*","DCPS DA","DCPS Pay","MCA Int"},OFFSET('NOV-21'!$A$1,MATCH(Sheet1!A1,'NOV-21'!$A:$A,0),6,22,1)))+SUM(SUMIF(OFFSET('NOV-21'!$A$1,MATCH(Sheet1!A1,'NOV-21'!$A:$A,0),2,22,1),{"MCA","COM*DV*","HB*ND","CO*SOC","HRR","SRV*H","ACC*CY","F.A","STAMP_REVENUE","*C M Relief Fund*","GPF_ADV*","Co. Op. Cr. Soc. 2*","DCPS DA","DCPS Pay","MCA Int"},OFFSET('NOV-21'!$A$1,MATCH(Sheet1!A1,'NOV-21'!$A:$A,0),3,22,1))),0)</f>
        <v>0</v>
      </c>
      <c r="Q13" s="17">
        <f t="shared" ca="1" si="4"/>
        <v>0</v>
      </c>
      <c r="R13" s="17">
        <f t="array" aca="1" ref="R13" ca="1">IFERROR(SUM(SUMIF(OFFSET('NOV-21'!$A$1,MATCH(Sheet1!A1,'NOV-21'!$A:$A,0),2,22,1),{"*I. *ax*"},OFFSET('NOV-21'!$A$1,MATCH(Sheet1!A1,'NOV-21'!$A:$A,0),3,22,1))),0)</f>
        <v>0</v>
      </c>
      <c r="S13" s="46" t="str">
        <f t="array" aca="1" ref="S13" ca="1">+IFERROR(IF(OFFSET('NOV-21'!$B$1,MATCH(Sheet1!A1,'NOV-21'!B:B,0)-2,0,1,1)=Sheet1!J13,IF(MID(IFERROR(OFFSET('NOV-21'!$B$1,MATCH(Sheet1!A1,'NOV-21'!$B:$B,0)-1,-1,1,1),"GROSS ERROR"),11,FIND(" ",OFFSET('NOV-21'!$B$1,MATCH(Sheet1!A1,'NOV-21'!$B:$B,0)-1,-1,1,1),12)-11)-Q13=0,"","NET MISMATCH"),"GROSS MISMATCH"),"")</f>
        <v/>
      </c>
      <c r="T13" s="47"/>
      <c r="V13" s="18"/>
      <c r="W13" s="7"/>
      <c r="X13" s="18"/>
      <c r="Y13" s="7"/>
      <c r="Z13" s="19"/>
      <c r="AA13" s="49"/>
      <c r="AC13" s="7"/>
      <c r="AD13" s="7"/>
      <c r="AE13" s="7"/>
      <c r="AF13" s="7"/>
      <c r="AG13" s="7"/>
      <c r="AH13" s="7"/>
      <c r="AI13" s="49"/>
      <c r="AJ13" s="49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64" t="str">
        <f>+G2</f>
        <v>PAN</v>
      </c>
      <c r="BI13" s="47">
        <f>+A1</f>
        <v>0</v>
      </c>
      <c r="BJ13" s="18" t="str">
        <f t="array" aca="1" ref="BJ13" ca="1">+IFERROR(OFFSET('NOV-21'!$B$1,MATCH(Sheet1!A1,'NOV-21'!$B:$B,0)+1,0,1,1),"")</f>
        <v/>
      </c>
      <c r="BK13" s="64">
        <f t="shared" ca="1" si="0"/>
        <v>0</v>
      </c>
      <c r="BL13" s="18">
        <f t="shared" ca="1" si="1"/>
        <v>0</v>
      </c>
      <c r="BM13" s="7" t="str">
        <f t="array" aca="1" ref="BM13" ca="1">IFERROR(OFFSET('NOV-21'!$A$1,MATCH(Sheet1!A1,'NOV-21'!$A:$A,0)-2,0,1,1),"")</f>
        <v/>
      </c>
      <c r="BN13" s="7"/>
      <c r="BO13" s="7"/>
    </row>
    <row r="14" spans="1:67" ht="15" customHeight="1" x14ac:dyDescent="0.25">
      <c r="A14" s="14">
        <v>10</v>
      </c>
      <c r="B14" s="15">
        <v>44531</v>
      </c>
      <c r="C14" s="16">
        <f ca="1">IFERROR(SUM(SUMIF(OFFSET('DEC-21'!$A$1,MATCH(Sheet1!A1,'DEC-21'!$A:$A,0),0,22,1),{"BA*C","BASIC??"},OFFSET('DEC-21'!$A$1,MATCH(Sheet1!A1,'DEC-21'!$A:$A,0),1,22,1))),0)</f>
        <v>0</v>
      </c>
      <c r="D14" s="16">
        <f ca="1">IFERROR(SUM(SUMIF(OFFSET('DEC-21'!$A$1,MATCH(Sheet1!A1,'DEC-21'!$A:$A,0),0,22,1),{"DA*C","D. *"},OFFSET('DEC-21'!$A$1,MATCH(Sheet1!A1,'DEC-21'!$A:$A,0),1,22,1))),0)</f>
        <v>0</v>
      </c>
      <c r="E14" s="16">
        <f ca="1">IFERROR(SUM(SUMIF(OFFSET('DEC-21'!$A$1,MATCH(Sheet1!A1,'DEC-21'!$A:$A,0),0,22,1),{"H. R. A."},OFFSET('DEC-21'!$A$1,MATCH(Sheet1!A1,'DEC-21'!$A:$A,0),1,22,1))),0)</f>
        <v>0</v>
      </c>
      <c r="F14" s="16">
        <f t="array" aca="1" ref="F14" ca="1">IFERROR(SUM(SUMIF(OFFSET('DEC-21'!$A$1,MATCH(Sheet1!A1,'DEC-21'!$A:$A,0),0,22,1),{"SP*AY*","S D A*","O.A.*","CLA (5th Pay)*","REF. Allow*","Trans.Allw.*","LF*","P. O.*","ARM*","Conv.A*","Otr.Allow*","Trans_Arrear*","BMIA*","Incentives*","Fit Allow*","KMA","NON-*","U.*","ME*A","PG*","Per.Tra"},OFFSET('DEC-21'!$A$1,MATCH(Sheet1!A1,'DEC-21'!$A:$A,0),1,22,1))),0)</f>
        <v>0</v>
      </c>
      <c r="G14" s="16">
        <f ca="1">IFERROR(SUM(SUMIF(OFFSET('DEC-21'!$A$1,MATCH(Sheet1!A1,'DEC-21'!$A:$A,0),0,22,1),{"WA"},OFFSET('DEC-21'!$A$1,MATCH(Sheet1!A1,'DEC-21'!$A:$A,0),1,22,1))),0)</f>
        <v>0</v>
      </c>
      <c r="H14" s="16">
        <f ca="1">IFERROR(SUM(SUMIF(OFFSET('DEC-21'!$A$1,MATCH(Sheet1!A1,'DEC-21'!$A:$A,0),0,22,1),{"DCPS","GROSS_ADJUST"},OFFSET('DEC-21'!$A$1,MATCH(Sheet1!A1,'DEC-21'!$A:$A,0),1,22,1))),0)</f>
        <v>0</v>
      </c>
      <c r="I14" s="16">
        <f t="array" aca="1" ref="I14" ca="1">+IFERROR(SUM(SUMIF(OFFSET('DEC-21'!$A$1,MATCH(Sheet1!A1,'DEC-21'!$A:$A,0),0,22,1),{"Basic*Arr*","7th Pay* Arr*"},OFFSET('DEC-21'!$A$1,MATCH(Sheet1!A1,'DEC-21'!$A:$A,0),1,22,1))),0)</f>
        <v>0</v>
      </c>
      <c r="J14" s="16">
        <f ca="1">SUM(C14:I14)</f>
        <v>0</v>
      </c>
      <c r="K14" s="16">
        <f ca="1">IFERROR(SUM(SUMIF(OFFSET('DEC-21'!$A$1,MATCH(Sheet1!A1,'DEC-21'!$A:$A,0),2,22,1),{"*Pro*ax*"},OFFSET('DEC-21'!$A$1,MATCH(Sheet1!A1,'DEC-21'!$A:$A,0),3,22,1))),0)</f>
        <v>0</v>
      </c>
      <c r="L14" s="16">
        <f ca="1">IFERROR(SUM(SUMIF(OFFSET('DEC-21'!$A$1,MATCH(Sheet1!A1,'DEC-21'!$A:$A,0),2,22,1),{"GPF_G*","DCPS"},OFFSET('DEC-21'!$A$1,MATCH(Sheet1!A1,'DEC-21'!$A:$A,0),3,22,1))),0)</f>
        <v>0</v>
      </c>
      <c r="M14" s="16">
        <f ca="1">IFERROR(SUM(SUMIF(OFFSET('DEC-21'!$A$1,MATCH(Sheet1!A1,'DEC-21'!$A:$A,0),2,22,1),{"*GIS","GIS*R"},OFFSET('DEC-21'!$A$1,MATCH(Sheet1!A1,'DEC-21'!$A:$A,0),3,22,1))),0)</f>
        <v>0</v>
      </c>
      <c r="N14" s="16">
        <f ca="1">IFERROR(SUM(SUMIF(OFFSET('DEC-21'!$A$1,MATCH(Sheet1!A1,'DEC-21'!$A:$A,0),5,22,1),{"LI*1"},OFFSET('DEC-21'!$A$1,MATCH(Sheet1!A1,'DEC-21'!$A:$A,0),6,22,1))),0)</f>
        <v>0</v>
      </c>
      <c r="O14" s="16">
        <f t="array" aca="1" ref="O14" ca="1">IFERROR(SUM(SUMIF(OFFSET('DEC-21'!$A$1,MATCH(Sheet1!A1,'DEC-21'!$A:$A,0),2,22,1),{"HB*USE","HB*INT"},OFFSET('DEC-21'!$A$1,MATCH(Sheet1!A1,'DEC-21'!$A:$A,0),3,22,1))),0)</f>
        <v>0</v>
      </c>
      <c r="P14" s="16">
        <f t="array" aca="1" ref="P14" ca="1">IFERROR(SUM(SUMIF(OFFSET('DEC-21'!$A$1,MATCH(Sheet1!A1,'DEC-21'!$A:$A,0),5,22,1),{"OTHE*1","CO.*1","OTHE*2","WEL*ND","BAN*1","CLU*ND","RD*1","LI*2","MIS*US","*TAINAN*","MCA*INT*","MAIN*NANCE*","*C M Relief Fund*","Co. Op. Hsg Soc.*","GPF_ADV*","Co. Op. Cr. Soc. 2*","DCPS DA","DCPS Pay","MCA Int"},OFFSET('DEC-21'!$A$1,MATCH(Sheet1!A1,'DEC-21'!$A:$A,0),6,22,1)))+SUM(SUMIF(OFFSET('DEC-21'!$A$1,MATCH(Sheet1!A1,'DEC-21'!$A:$A,0),2,22,1),{"MCA","COM*DV*","HB*ND","CO*SOC","HRR","SRV*H","ACC*CY","F.A","STAMP_REVENUE","*C M Relief Fund*","GPF_ADV*","Co. Op. Cr. Soc. 2*","DCPS DA","DCPS Pay","MCA Int"},OFFSET('DEC-21'!$A$1,MATCH(Sheet1!A1,'DEC-21'!$A:$A,0),3,22,1))),0)</f>
        <v>0</v>
      </c>
      <c r="Q14" s="17">
        <f t="shared" ca="1" si="4"/>
        <v>0</v>
      </c>
      <c r="R14" s="17">
        <f t="array" aca="1" ref="R14" ca="1">IFERROR(SUM(SUMIF(OFFSET('DEC-21'!$A$1,MATCH(Sheet1!A1,'DEC-21'!$A:$A,0),2,22,1),{"*I. *ax*"},OFFSET('DEC-21'!$A$1,MATCH(Sheet1!A1,'DEC-21'!$A:$A,0),3,22,1))),0)</f>
        <v>0</v>
      </c>
      <c r="S14" s="46" t="str">
        <f t="array" aca="1" ref="S14" ca="1">+IFERROR(IF(OFFSET('DEC-21'!$B$1,MATCH(Sheet1!A1,'DEC-21'!B:B,0)-2,0,1,1)=Sheet1!J14,IF(MID(IFERROR(OFFSET('DEC-21'!$B$1,MATCH(Sheet1!A1,'DEC-21'!$B:$B,0)-1,-1,1,1),"GROSS ERROR"),11,FIND(" ",OFFSET('DEC-21'!$B$1,MATCH(Sheet1!A1,'DEC-21'!$B:$B,0)-1,-1,1,1),12)-11)-Q14=0,"","NET MISMATCH"),"GROSS MISMATCH"),"")</f>
        <v/>
      </c>
      <c r="T14" s="47"/>
      <c r="V14" s="18"/>
      <c r="W14" s="7"/>
      <c r="X14" s="18"/>
      <c r="Y14" s="7"/>
      <c r="Z14" s="7"/>
      <c r="AA14" s="49"/>
      <c r="AC14" s="7"/>
      <c r="AD14" s="7"/>
      <c r="AE14" s="7"/>
      <c r="AF14" s="7"/>
      <c r="AG14" s="7"/>
      <c r="AH14" s="7"/>
      <c r="AI14" s="49"/>
      <c r="AJ14" s="49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64" t="str">
        <f>+G2</f>
        <v>PAN</v>
      </c>
      <c r="BI14" s="47">
        <f>+A1</f>
        <v>0</v>
      </c>
      <c r="BJ14" s="18" t="str">
        <f t="array" aca="1" ref="BJ14" ca="1">+IFERROR(OFFSET('DEC-21'!$B$1,MATCH(Sheet1!A1,'DEC-21'!$B:$B,0)+1,0,1,1),"")</f>
        <v/>
      </c>
      <c r="BK14" s="64">
        <f t="shared" ca="1" si="0"/>
        <v>0</v>
      </c>
      <c r="BL14" s="18">
        <f t="shared" ca="1" si="1"/>
        <v>0</v>
      </c>
      <c r="BM14" s="7" t="str">
        <f t="array" aca="1" ref="BM14" ca="1">IFERROR(OFFSET('DEC-21'!$A$1,MATCH(Sheet1!A1,'DEC-21'!$A:$A,0)-2,0,1,1),"")</f>
        <v/>
      </c>
      <c r="BN14" s="7"/>
      <c r="BO14" s="7"/>
    </row>
    <row r="15" spans="1:67" ht="15" customHeight="1" x14ac:dyDescent="0.25">
      <c r="A15" s="14">
        <v>11</v>
      </c>
      <c r="B15" s="15">
        <v>44562</v>
      </c>
      <c r="C15" s="16">
        <f ca="1">IFERROR(SUM(SUMIF(OFFSET('JAN-22'!$A$1,MATCH(Sheet1!A1,'JAN-22'!$A:$A,0),0,22,1),{"BA*C","BASIC??"},OFFSET('JAN-22'!$A$1,MATCH(Sheet1!A1,'JAN-22'!$A:$A,0),1,22,1))),0)</f>
        <v>0</v>
      </c>
      <c r="D15" s="16">
        <f ca="1">IFERROR(SUM(SUMIF(OFFSET('JAN-22'!$A$1,MATCH(Sheet1!A1,'JAN-22'!$A:$A,0),0,22,1),{"DA*C","D. *"},OFFSET('JAN-22'!$A$1,MATCH(Sheet1!A1,'JAN-22'!$A:$A,0),1,22,1))),0)</f>
        <v>0</v>
      </c>
      <c r="E15" s="16">
        <f ca="1">IFERROR(SUM(SUMIF(OFFSET('JAN-22'!$A$1,MATCH(Sheet1!A1,'JAN-22'!$A:$A,0),0,22,1),{"H. R. A."},OFFSET('JAN-22'!$A$1,MATCH(Sheet1!A1,'JAN-22'!$A:$A,0),1,22,1))),0)</f>
        <v>0</v>
      </c>
      <c r="F15" s="16">
        <f t="array" aca="1" ref="F15" ca="1">IFERROR(SUM(SUMIF(OFFSET('JAN-22'!$A$1,MATCH(Sheet1!A1,'JAN-22'!$A:$A,0),0,22,1),{"SP*AY*","S D A*","O.A.*","CLA (5th Pay)*","REF. Allow*","Trans.Allw.*","LF*","P. O.*","ARM*","Conv.A*","Otr.Allow*","Trans_Arrear*","BMIA*","Incentives*","Fit Allow*","KMA","NON-*","U.*","ME*A","PG*","Per.Tra"},OFFSET('JAN-22'!$A$1,MATCH(Sheet1!A1,'JAN-22'!$A:$A,0),1,22,1))),0)</f>
        <v>0</v>
      </c>
      <c r="G15" s="16">
        <f ca="1">IFERROR(SUM(SUMIF(OFFSET('JAN-22'!$A$1,MATCH(Sheet1!A1,'JAN-22'!$A:$A,0),0,22,1),{"WA"},OFFSET('JAN-22'!$A$1,MATCH(Sheet1!A1,'JAN-22'!$A:$A,0),1,22,1))),0)</f>
        <v>0</v>
      </c>
      <c r="H15" s="16">
        <f ca="1">IFERROR(SUM(SUMIF(OFFSET('JAN-22'!$A$1,MATCH(Sheet1!A1,'JAN-22'!$A:$A,0),0,22,1),{"DCPS","GROSS_ADJUST"},OFFSET('JAN-22'!$A$1,MATCH(Sheet1!A1,'JAN-22'!$A:$A,0),1,22,1))),0)</f>
        <v>0</v>
      </c>
      <c r="I15" s="16">
        <f t="array" aca="1" ref="I15" ca="1">+IFERROR(SUM(SUMIF(OFFSET('JAN-22'!$A$1,MATCH(Sheet1!A1,'JAN-22'!$A:$A,0),0,22,1),{"Basic*Arr*","7th Pay* Arr*"},OFFSET('JAN-22'!$A$1,MATCH(Sheet1!A1,'JAN-22'!$A:$A,0),1,22,1))),0)</f>
        <v>0</v>
      </c>
      <c r="J15" s="16">
        <f t="shared" ca="1" si="2"/>
        <v>0</v>
      </c>
      <c r="K15" s="16">
        <f ca="1">IFERROR(SUM(SUMIF(OFFSET('JAN-22'!$A$1,MATCH(Sheet1!A1,'JAN-22'!$A:$A,0),2,22,1),{"*Pro*ax*"},OFFSET('JAN-22'!$A$1,MATCH(Sheet1!A1,'JAN-22'!$A:$A,0),3,22,1))),0)</f>
        <v>0</v>
      </c>
      <c r="L15" s="16">
        <f ca="1">IFERROR(SUM(SUMIF(OFFSET('JAN-22'!$A$1,MATCH(Sheet1!A1,'JAN-22'!$A:$A,0),2,22,1),{"GPF_G*","DCPS"},OFFSET('JAN-22'!$A$1,MATCH(Sheet1!A1,'JAN-22'!$A:$A,0),3,22,1))),0)</f>
        <v>0</v>
      </c>
      <c r="M15" s="16">
        <f t="array" aca="1" ref="M15" ca="1">IFERROR(SUM(SUMIF(OFFSET('JAN-22'!$A$1,MATCH(Sheet1!A1,'JAN-22'!$A:$A,0),2,22,1),{"*GIS","GIS*R"},OFFSET('JAN-22'!$A$1,MATCH(Sheet1!A1,'JAN-22'!$A:$A,0),3,22,1))),0)</f>
        <v>0</v>
      </c>
      <c r="N15" s="16">
        <f ca="1">IFERROR(SUM(SUMIF(OFFSET('JAN-22'!$A$1,MATCH(Sheet1!A1,'JAN-22'!$A:$A,0),5,22,1),{"LI*1"},OFFSET('JAN-22'!$A$1,MATCH(Sheet1!A1,'JAN-22'!$A:$A,0),6,22,1))),0)</f>
        <v>0</v>
      </c>
      <c r="O15" s="16">
        <f t="array" aca="1" ref="O15" ca="1">IFERROR(SUM(SUMIF(OFFSET('JAN-22'!$A$1,MATCH(Sheet1!A1,'JAN-22'!$A:$A,0),2,22,1),{"HB*USE","HB*INT"},OFFSET('JAN-22'!$A$1,MATCH(Sheet1!A1,'JAN-22'!$A:$A,0),3,22,1))),0)</f>
        <v>0</v>
      </c>
      <c r="P15" s="16">
        <f t="array" aca="1" ref="P15" ca="1">IFERROR(SUM(SUMIF(OFFSET('JAN-22'!$A$1,MATCH(Sheet1!A1,'JAN-22'!$A:$A,0),5,22,1),{"OTHE*1","CO.*1","OTHE*2","WEL*ND","BAN*1","CLU*ND","RD*1","LI*2","MIS*US","*TAINAN*","MCA*INT*","MAIN*NANCE*","*C M Relief Fund*","Co. Op. Hsg Soc.*","GPF_ADV*","Co. Op. Cr. Soc. 2*","DCPS DA","DCPS Pay","MCA Int"},OFFSET('JAN-22'!$A$1,MATCH(Sheet1!A1,'JAN-22'!$A:$A,0),6,22,1)))+SUM(SUMIF(OFFSET('JAN-22'!$A$1,MATCH(Sheet1!A1,'JAN-22'!$A:$A,0),2,22,1),{"MCA","COM*DV*","HB*ND","CO*SOC","HRR","SRV*H","ACC*CY","F.A","STAMP_REVENUE","*C M Relief Fund*","GPF_ADV*","Co. Op. Cr. Soc. 2*","DCPS DA","DCPS Pay","MCA Int"},OFFSET('JAN-22'!$A$1,MATCH(Sheet1!A1,'JAN-22'!$A:$A,0),3,22,1))),0)</f>
        <v>0</v>
      </c>
      <c r="Q15" s="17">
        <f t="shared" ca="1" si="4"/>
        <v>0</v>
      </c>
      <c r="R15" s="17">
        <f t="array" aca="1" ref="R15" ca="1">IFERROR(SUM(SUMIF(OFFSET('JAN-22'!$A$1,MATCH(Sheet1!A1,'JAN-22'!$A:$A,0),2,22,1),{"*I. *ax*"},OFFSET('JAN-22'!$A$1,MATCH(Sheet1!A1,'JAN-22'!$A:$A,0),3,22,1))),0)</f>
        <v>0</v>
      </c>
      <c r="S15" s="46" t="str">
        <f t="array" aca="1" ref="S15" ca="1">+IFERROR(IF(OFFSET('JAN-22'!$B$1,MATCH(Sheet1!A1,'JAN-22'!B:B,0)-2,0,1,1)=Sheet1!J15,IF(MID(IFERROR(OFFSET('JAN-22'!$B$1,MATCH(Sheet1!A1,'JAN-22'!$B:$B,0)-1,-1,1,1),"GROSS ERROR"),11,FIND(" ",OFFSET('JAN-22'!$B$1,MATCH(Sheet1!A1,'JAN-22'!$B:$B,0)-1,-1,1,1),12)-11)-Q15=0,"","NET MISMATCH"),"GROSS MISMATCH"),"")</f>
        <v/>
      </c>
      <c r="T15" s="47"/>
      <c r="V15" s="18"/>
      <c r="W15" s="7"/>
      <c r="X15" s="18"/>
      <c r="Y15" s="7"/>
      <c r="Z15" s="7"/>
      <c r="AA15" s="49"/>
      <c r="AC15" s="7"/>
      <c r="AD15" s="7"/>
      <c r="AE15" s="7"/>
      <c r="AF15" s="7"/>
      <c r="AG15" s="7"/>
      <c r="AH15" s="7"/>
      <c r="AI15" s="49"/>
      <c r="AJ15" s="49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64" t="str">
        <f>+G2</f>
        <v>PAN</v>
      </c>
      <c r="BI15" s="47">
        <f>+A1</f>
        <v>0</v>
      </c>
      <c r="BJ15" s="18" t="str">
        <f t="array" aca="1" ref="BJ15" ca="1">IFERROR(OFFSET('JAN-22'!$B$1,MATCH(Sheet1!A1,'JAN-22'!$B:$B,0)+1,0,1,1),"")</f>
        <v/>
      </c>
      <c r="BK15" s="64">
        <f t="shared" ca="1" si="0"/>
        <v>0</v>
      </c>
      <c r="BL15" s="18">
        <f t="shared" ca="1" si="1"/>
        <v>0</v>
      </c>
      <c r="BM15" s="7" t="str">
        <f t="array" aca="1" ref="BM15" ca="1">IFERROR(OFFSET('JAN-22'!$A$1,MATCH(Sheet1!A1,'JAN-22'!$A:$A,0)-2,0,1,1),"")</f>
        <v/>
      </c>
      <c r="BN15" s="7"/>
      <c r="BO15" s="7"/>
    </row>
    <row r="16" spans="1:67" ht="15" customHeight="1" x14ac:dyDescent="0.25">
      <c r="A16" s="16">
        <v>12</v>
      </c>
      <c r="B16" s="15">
        <v>44593</v>
      </c>
      <c r="C16" s="16">
        <f ca="1">IFERROR(SUM(SUMIF(OFFSET('FEB-22'!$A$1,MATCH(Sheet1!$A$1,'FEB-22'!$A:$A,0),0,22,1),{"BA*C","BASIC??"},OFFSET('FEB-22'!$A$1,MATCH(Sheet1!$A$1,'FEB-22'!$A:$A,0),1,22,1))),0)</f>
        <v>0</v>
      </c>
      <c r="D16" s="16">
        <f ca="1">IFERROR(SUM(SUMIF(OFFSET('FEB-22'!$A$1,MATCH(Sheet1!$A$1,'FEB-22'!$A:$A,0),0,22,1),{"DA*C","D. *"},OFFSET('FEB-22'!$A$1,MATCH(Sheet1!$A$1,'FEB-22'!$A:$A,0),1,22,1))),0)</f>
        <v>0</v>
      </c>
      <c r="E16" s="16">
        <f ca="1">IFERROR(SUM(SUMIF(OFFSET('FEB-22'!$A$1,MATCH(Sheet1!$A$1,'FEB-22'!$A:$A,0),0,22,1),{"H. R. A."},OFFSET('FEB-22'!$A$1,MATCH(Sheet1!$A$1,'FEB-22'!$A:$A,0),1,22,1))),0)</f>
        <v>0</v>
      </c>
      <c r="F16" s="16">
        <f t="array" aca="1" ref="F16" ca="1">IFERROR(SUM(SUMIF(OFFSET('FEB-22'!$A$1,MATCH(Sheet1!$A$1,'FEB-22'!$A:$A,0),0,22,1),{"SP*AY*","S D A*","O.A.*","CLA (5th Pay)*","REF. Allow*","Trans.Allw.*","LF*","P. O.*","ARM*","Conv.A*","Otr.Allow*","Trans_Arrear*","BMIA*","Incentives*","Fit Allow*","KMA","NON-*","U.*","ME*A","PG*","Per.Tra"},OFFSET('FEB-22'!$A$1,MATCH(Sheet1!$A$1,'FEB-22'!$A:$A,0),1,22,1))),0)</f>
        <v>0</v>
      </c>
      <c r="G16" s="16">
        <f ca="1">IFERROR(SUM(SUMIF(OFFSET('FEB-22'!$A$1,MATCH(Sheet1!$A$1,'FEB-22'!$A:$A,0),0,22,1),{"WA"},OFFSET('FEB-22'!$A$1,MATCH(Sheet1!$A$1,'FEB-22'!$A:$A,0),1,22,1))),0)</f>
        <v>0</v>
      </c>
      <c r="H16" s="16">
        <f ca="1">IFERROR(SUM(SUMIF(OFFSET('FEB-22'!$A$1,MATCH(Sheet1!$A$1,'FEB-22'!$A:$A,0),0,22,1),{"DCPS","GROSS_ADJUST"},OFFSET('FEB-22'!$A$1,MATCH(Sheet1!$A$1,'FEB-22'!$A:$A,0),1,22,1))),0)</f>
        <v>0</v>
      </c>
      <c r="I16" s="16">
        <f t="array" aca="1" ref="I16" ca="1">+IFERROR(SUM(SUMIF(OFFSET('FEB-22'!$A$1,MATCH(Sheet1!$A$1,'FEB-22'!$A:$A,0),0,22,1),{"Basic*Arr*","7th Pay* Arr*"},OFFSET('FEB-22'!$A$1,MATCH(Sheet1!$A$1,'FEB-22'!$A:$A,0),1,22,1))),0)</f>
        <v>0</v>
      </c>
      <c r="J16" s="16">
        <f t="shared" ca="1" si="2"/>
        <v>0</v>
      </c>
      <c r="K16" s="16">
        <f ca="1">IFERROR(SUM(SUMIF(OFFSET('FEB-22'!$A$1,MATCH(Sheet1!$A$1,'FEB-22'!$A:$A,0),2,22,1),{"*Pro*ax*"},OFFSET('FEB-22'!$A$1,MATCH(Sheet1!$A$1,'FEB-22'!$A:$A,0),3,22,1))),0)</f>
        <v>0</v>
      </c>
      <c r="L16" s="16">
        <f ca="1">IFERROR(SUM(SUMIF(OFFSET('FEB-22'!$A$1,MATCH(Sheet1!$A$1,'FEB-22'!$A:$A,0),2,22,1),{"GPF_G*","DCPS"},OFFSET('FEB-22'!$A$1,MATCH(Sheet1!$A$1,'FEB-22'!$A:$A,0),3,22,1))),0)</f>
        <v>0</v>
      </c>
      <c r="M16" s="16">
        <f t="array" aca="1" ref="M16" ca="1">IFERROR(SUM(SUMIF(OFFSET('FEB-22'!$A$1,MATCH(Sheet1!$A$1,'FEB-22'!$A:$A,0),2,22,1),{"*GIS","GIS*R"},OFFSET('FEB-22'!$A$1,MATCH(Sheet1!$A$1,'FEB-22'!$A:$A,0),3,22,1))),0)</f>
        <v>0</v>
      </c>
      <c r="N16" s="16">
        <f ca="1">IFERROR(SUM(SUMIF(OFFSET('FEB-22'!$A$1,MATCH(Sheet1!$A$1,'FEB-22'!$A:$A,0),5,22,1),{"LI*1"},OFFSET('FEB-22'!$A$1,MATCH(Sheet1!$A$1,'FEB-22'!$A:$A,0),6,22,1))),0)</f>
        <v>0</v>
      </c>
      <c r="O16" s="16">
        <f t="array" aca="1" ref="O16" ca="1">IFERROR(SUM(SUMIF(OFFSET('FEB-22'!$A$1,MATCH(Sheet1!$A$1,'FEB-22'!$A:$A,0),2,22,1),{"HB*USE","HB*INT"},OFFSET('FEB-22'!$A$1,MATCH(Sheet1!$A$1,'FEB-22'!$A:$A,0),3,22,1))),0)</f>
        <v>0</v>
      </c>
      <c r="P16" s="16">
        <f t="array" aca="1" ref="P16" ca="1">IFERROR(SUM(SUMIF(OFFSET('FEB-22'!$A$1,MATCH(Sheet1!$A$1,'FEB-22'!$A:$A,0),5,22,1),{"OTHE*1","CO.*1","OTHE*2","WEL*ND","BAN*1","CLU*ND","RD*1","LI*2","MIS*US","*TAINAN*","MCA*INT*","MAIN*NANCE*","*C M Relief Fund*","Co. Op. Hsg Soc.*","GPF_ADV*","Co. Op. Cr. Soc. 2*","DCPS DA","DCPS Pay","MCA Int"},OFFSET('FEB-22'!$A$1,MATCH(Sheet1!$A$1,'FEB-22'!$A:$A,0),6,22,1)))+SUM(SUMIF(OFFSET('FEB-22'!$A$1,MATCH(Sheet1!$A$1,'FEB-22'!$A:$A,0),2,22,1),{"MCA","COM*DV*","HB*ND","CO*SOC","HRR","SRV*H","ACC*CY","F.A","STAMP_REVENUE","*C M Relief Fund*","GPF_ADV*","Co. Op. Cr. Soc. 2*","DCPS DA","DCPS Pay","MCA Int"},OFFSET('FEB-22'!$A$1,MATCH(Sheet1!$A$1,'FEB-22'!$A:$A,0),3,22,1))),0)</f>
        <v>0</v>
      </c>
      <c r="Q16" s="17">
        <f t="shared" ca="1" si="4"/>
        <v>0</v>
      </c>
      <c r="R16" s="17">
        <f t="array" aca="1" ref="R16" ca="1">IFERROR(SUM(SUMIF(OFFSET('FEB-22'!$A$1,MATCH(Sheet1!$A$1,'FEB-22'!$A:$A,0),2,22,1),{"*I. *ax*"},OFFSET('FEB-22'!$A$1,MATCH(Sheet1!$A$1,'FEB-22'!$A:$A,0),3,22,1))),0)</f>
        <v>0</v>
      </c>
      <c r="S16" s="46" t="str">
        <f t="array" aca="1" ref="S16" ca="1">+IFERROR(IF(OFFSET('FEB-22'!$B$1,MATCH(Sheet1!A1,'FEB-22'!B:B,0)-2,0,1,1)=Sheet1!J16,IF(MID(IFERROR(OFFSET('FEB-22'!$B$1,MATCH(Sheet1!A1,'FEB-22'!$B:$B,0)-1,-1,1,1),"GROSS ERROR"),11,FIND(" ",OFFSET('FEB-22'!$B$1,MATCH(Sheet1!A1,'FEB-22'!$B:$B,0)-1,-1,1,1),12)-11)-Q16=0,"","NET MISMATCH"),"GROSS MISMATCH"),"")</f>
        <v/>
      </c>
      <c r="T16" s="47"/>
      <c r="V16" s="18"/>
      <c r="W16" s="7"/>
      <c r="X16" s="18"/>
      <c r="Y16" s="4"/>
      <c r="Z16" s="4"/>
      <c r="AA16" s="48"/>
      <c r="AC16" s="4"/>
      <c r="AD16" s="4"/>
      <c r="AE16" s="4"/>
      <c r="AF16" s="4"/>
      <c r="AG16" s="4"/>
      <c r="AH16" s="4"/>
      <c r="AI16" s="48"/>
      <c r="AJ16" s="48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64" t="str">
        <f>+G2</f>
        <v>PAN</v>
      </c>
      <c r="BI16" s="47">
        <f>+A1</f>
        <v>0</v>
      </c>
      <c r="BJ16" s="18" t="str">
        <f t="array" aca="1" ref="BJ16" ca="1">IFERROR(OFFSET('FEB-22'!$B$1,MATCH(Sheet1!A1,'FEB-22'!$B:$B,0)+1,0,1,1),"")</f>
        <v/>
      </c>
      <c r="BK16" s="64">
        <f t="shared" ca="1" si="0"/>
        <v>0</v>
      </c>
      <c r="BL16" s="18">
        <f t="shared" ca="1" si="1"/>
        <v>0</v>
      </c>
      <c r="BM16" s="7" t="str">
        <f t="array" aca="1" ref="BM16" ca="1">IFERROR(OFFSET('FEB-22'!$A$1,MATCH(Sheet1!A1,'FEB-22'!$A:$A,0)-2,0,1,1),"")</f>
        <v/>
      </c>
      <c r="BN16" s="4"/>
      <c r="BO16" s="4"/>
    </row>
    <row r="17" spans="1:67" ht="15" customHeight="1" x14ac:dyDescent="0.25">
      <c r="A17" s="14">
        <v>13</v>
      </c>
      <c r="B17" s="23" t="s">
        <v>119</v>
      </c>
      <c r="C17" s="16">
        <f ca="1">IFERROR(SUM(SUMIF(OFFSET(SUPP!$A$1,MATCH(Sheet1!A1,SUPP!$A:$A,0),0,22,1),{"BA*C","BASIC??"},OFFSET(SUPP!$A$1,MATCH(Sheet1!A1,SUPP!$A:$A,0),1,22,1))),0)</f>
        <v>0</v>
      </c>
      <c r="D17" s="16">
        <f t="array" aca="1" ref="D17" ca="1">+IFERROR(SUM(SUMIF(OFFSET(SUPP!$A$1,MATCH(Sheet1!A1,SUPP!$A:$A,0),0,22,1),{"DA*C","D. *"},OFFSET(SUPP!$A$1,MATCH(Sheet1!A1,SUPP!$A:$A,0),1,22,1))),0)</f>
        <v>0</v>
      </c>
      <c r="E17" s="16">
        <f ca="1">IFERROR(SUM(SUMIF(OFFSET(SUPP!$A$1,MATCH(Sheet1!A1,SUPP!$A:$A,0),0,22,1),{"H. R. A."},OFFSET(SUPP!$A$1,MATCH(Sheet1!A1,SUPP!$A:$A,0),1,22,1))),0)</f>
        <v>0</v>
      </c>
      <c r="F17" s="16">
        <f t="array" aca="1" ref="F17" ca="1">IFERROR(SUM(SUMIF(OFFSET(SUPP!$A$1,MATCH(Sheet1!A1,SUPP!$A:$A,0),0,22,1),{"SP*AY*","S D A*","O.A.*","CLA (5th Pay)*","REF. Allow*","Trans.Allw.*","LF*","P. O.*","ARM*","Conv.A*","Otr.Allow*","Trans_Arrear*","BMIA*","Incentives*","Fit Allow*","KMA","NON-*","U.*","ME*A","PG*","Per.Tra"},OFFSET(SUPP!$A$1,MATCH(Sheet1!A1,SUPP!$A:$A,0),1,22,1))),0)</f>
        <v>0</v>
      </c>
      <c r="G17" s="16">
        <f ca="1">+IFERROR(SUM(SUMIF(OFFSET(SUPP!$A$1,MATCH(Sheet1!A1,SUPP!$A:$A,0),0,22,1),{"WA"},OFFSET(SUPP!$A$1,MATCH(Sheet1!A1,SUPP!$A:$A,0),1,22,1))),0)</f>
        <v>0</v>
      </c>
      <c r="H17" s="16">
        <f t="array" aca="1" ref="H17" ca="1">+IFERROR(SUM(SUMIF(OFFSET(SUPP!$A$1,MATCH(Sheet1!A1,SUPP!$A:$A,0),0,22,1),{"DCPS","GROSS_ADJUST"},OFFSET(SUPP!$A$1,MATCH(Sheet1!A1,SUPP!$A:$A,0),1,22,1))),0)</f>
        <v>0</v>
      </c>
      <c r="I17" s="16">
        <f t="array" aca="1" ref="I17" ca="1">+IFERROR(SUM(SUMIF(OFFSET(SUPP!$A$1,MATCH(Sheet1!A1,SUPP!$A:$A,0),0,22,1),{"Basic*Arr*","7th Pay* Arr*"},OFFSET(SUPP!$A$1,MATCH(Sheet1!A1,SUPP!$A:$A,0),1,22,1))),0)</f>
        <v>0</v>
      </c>
      <c r="J17" s="16">
        <f t="shared" ca="1" si="2"/>
        <v>0</v>
      </c>
      <c r="K17" s="16">
        <f t="array" aca="1" ref="K17" ca="1">+IFERROR(SUM(SUMIF(OFFSET(SUPP!$A$1,MATCH(Sheet1!A1,SUPP!$A:$A,0),2,22,1),{"*Pro*ax*"},OFFSET(SUPP!$A$1,MATCH(Sheet1!A1,SUPP!$A:$A,0),3,22,1))),0)</f>
        <v>0</v>
      </c>
      <c r="L17" s="16">
        <f ca="1">IFERROR(SUM(SUMIF(OFFSET(SUPP!$A$1,MATCH(Sheet1!A1,SUPP!$A:$A,0),2,22,1),{"GPF_G*","DCPS"},OFFSET(SUPP!$A$1,MATCH(Sheet1!A1,SUPP!$A:$A,0),3,22,1))),0)</f>
        <v>0</v>
      </c>
      <c r="M17" s="16">
        <f t="array" aca="1" ref="M17" ca="1">+IFERROR(SUM(SUMIF(OFFSET(SUPP!$A$1,MATCH(Sheet1!A1,SUPP!$A:$A,0),2,22,1),{"*GIS","GIS*R"},OFFSET(SUPP!$A$1,MATCH(Sheet1!A1,SUPP!$A:$A,0),3,22,1))),0)</f>
        <v>0</v>
      </c>
      <c r="N17" s="16">
        <f t="array" aca="1" ref="N17" ca="1">+IFERROR(SUM(SUMIF(OFFSET(SUPP!$A$1,MATCH(Sheet1!A1,SUPP!$A:$A,0),5,22,1),{"LI*1"},OFFSET(SUPP!$A$1,MATCH(Sheet1!A1,SUPP!$A:$A,0),6,22,1))),0)</f>
        <v>0</v>
      </c>
      <c r="O17" s="16">
        <f t="array" aca="1" ref="O17" ca="1">+IFERROR(SUM(SUMIF(OFFSET(SUPP!$A$1,MATCH(Sheet1!A1,SUPP!$A:$A,0),2,22,1),{"HB*USE","HB*INT"},OFFSET(SUPP!$A$1,MATCH(Sheet1!A1,SUPP!$A:$A,0),3,22,1))),0)</f>
        <v>0</v>
      </c>
      <c r="P17" s="16">
        <f t="array" aca="1" ref="P17" ca="1">IFERROR(SUM(SUMIF(OFFSET(SUPP!$A$1,MATCH(Sheet1!A1,SUPP!$A:$A,0),5,22,1),{"OTHE*1","CO.*1","OTHE*2","WEL*ND","BAN*1","CLU*ND","RD*1","LI*2","MIS*US","*TAINAN*","MCA*INT*","MAIN*NANCE*","*C M Relief Fund*","Co. Op. Hsg Soc.*","GPF_ADV*","Co. Op. Cr. Soc. 2*","DCPS DA","DCPS Pay","MCA Int"},OFFSET(SUPP!$A$1,MATCH(Sheet1!A1,SUPP!$A:$A,0),6,22,1)))+SUM(SUMIF(OFFSET(SUPP!$A$1,MATCH(Sheet1!A1,SUPP!$A:$A,0),2,22,1),{"MCA","COM*DV*","HB*ND","CO*SOC","HRR","SRV*H","ACC*CY","F.A","STAMP_REVENUE","*C M Relief Fund*","GPF_ADV*","Co. Op. Cr. Soc. 2*","DCPS DA","DCPS Pay","MCA Int"},OFFSET(SUPP!$A$1,MATCH(Sheet1!A1,SUPP!$A:$A,0),3,22,1))),0)</f>
        <v>0</v>
      </c>
      <c r="Q17" s="17">
        <f t="shared" ca="1" si="4"/>
        <v>0</v>
      </c>
      <c r="R17" s="17">
        <f t="array" aca="1" ref="R17" ca="1">+IFERROR(SUM(SUMIF(OFFSET(SUPP!$A$1,MATCH(Sheet1!A1,SUPP!$A:$A,0),2,22,1),{"*I. *ax*"},OFFSET(SUPP!$A$1,MATCH(Sheet1!A1,SUPP!$A:$A,0),3,22,1))),0)</f>
        <v>0</v>
      </c>
      <c r="S17" s="46" t="str">
        <f t="array" aca="1" ref="S17" ca="1">+IFERROR(IF(OFFSET(SUPP!$B$1,MATCH(Sheet1!A1,SUPP!B:B,0)-2,0,1,1)=Sheet1!J17,IF(MID(IFERROR(OFFSET(SUPP!$B$1,MATCH(Sheet1!A1,SUPP!$B:$B,0)-1,-1,1,1),"GROSS ERROR"),11,FIND(" ",OFFSET(SUPP!$B$1,MATCH(Sheet1!A1,SUPP!$B:$B,0)-1,-1,1,1),12)-11)-Q17=0,"","NET MISMATCH"),"GROSS MISMATCH"),"")</f>
        <v/>
      </c>
      <c r="T17" s="47"/>
      <c r="V17" s="7"/>
      <c r="W17" s="7"/>
      <c r="X17" s="7"/>
      <c r="Y17" s="7"/>
      <c r="Z17" s="7"/>
      <c r="AA17" s="49"/>
      <c r="AC17" s="7"/>
      <c r="AD17" s="7"/>
      <c r="AE17" s="7"/>
      <c r="AF17" s="7"/>
      <c r="AG17" s="7"/>
      <c r="AH17" s="7"/>
      <c r="AI17" s="49"/>
      <c r="AJ17" s="49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64" t="str">
        <f>+G2</f>
        <v>PAN</v>
      </c>
      <c r="BI17" s="47">
        <f>+A1</f>
        <v>0</v>
      </c>
      <c r="BJ17" s="18" t="str">
        <f t="array" aca="1" ref="BJ17" ca="1">IFERROR(OFFSET(SUPP!$B$1,MATCH(Sheet1!A1,SUPP!$B:$B,0)+1,0,1,1),"")</f>
        <v/>
      </c>
      <c r="BK17" s="7">
        <f t="shared" ca="1" si="0"/>
        <v>0</v>
      </c>
      <c r="BL17" s="18">
        <f t="shared" ca="1" si="1"/>
        <v>0</v>
      </c>
      <c r="BM17" s="7" t="str">
        <f ca="1">IFERROR(OFFSET(SUPP!$A$1,MATCH(Sheet1!A1,SUPP!$A:$A,0)-2,0,1,1),"")</f>
        <v/>
      </c>
      <c r="BN17" s="7"/>
      <c r="BO17" s="7"/>
    </row>
    <row r="18" spans="1:67" ht="15" customHeight="1" x14ac:dyDescent="0.25">
      <c r="A18" s="14">
        <v>14</v>
      </c>
      <c r="B18" s="23" t="s">
        <v>20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f ca="1">IFERROR(SUM(SUMIF(OFFSET('AUG-21'!$A$1,MATCH(Sheet1!A9,'AUG-21'!$A:$A,0),0,22,1),{"Arr*","7th Pay* Arr*","Basic Arr."},OFFSET('AUG-21'!$A$1,MATCH(Sheet1!A9,'AUG-21'!$A:$A,0),1,22,1))),0)</f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7">
        <f t="shared" ref="Q18:Q19" si="5">+J18-H18-K18-L18-M18-N18-O18-P18-P38</f>
        <v>0</v>
      </c>
      <c r="R18" s="17">
        <v>0</v>
      </c>
      <c r="S18" s="7"/>
      <c r="T18" s="47"/>
      <c r="V18" s="7"/>
      <c r="W18" s="7"/>
      <c r="X18" s="7"/>
      <c r="Y18" s="7"/>
      <c r="Z18" s="7"/>
      <c r="AA18" s="49"/>
      <c r="AC18" s="7"/>
      <c r="AD18" s="7"/>
      <c r="AE18" s="7"/>
      <c r="AF18" s="7"/>
      <c r="AG18" s="7"/>
      <c r="AH18" s="7"/>
      <c r="AI18" s="49"/>
      <c r="AJ18" s="49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</row>
    <row r="19" spans="1:67" ht="15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6"/>
      <c r="K19" s="16"/>
      <c r="L19" s="16"/>
      <c r="M19" s="16"/>
      <c r="N19" s="16">
        <v>0</v>
      </c>
      <c r="O19" s="16">
        <v>0</v>
      </c>
      <c r="P19" s="16">
        <v>0</v>
      </c>
      <c r="Q19" s="17">
        <f t="shared" si="5"/>
        <v>0</v>
      </c>
      <c r="R19" s="16">
        <v>0</v>
      </c>
      <c r="S19" s="7"/>
      <c r="T19" s="47"/>
      <c r="V19" s="7"/>
      <c r="W19" s="7"/>
      <c r="X19" s="7"/>
      <c r="Y19" s="7"/>
      <c r="Z19" s="7"/>
      <c r="AA19" s="49"/>
      <c r="AC19" s="7"/>
      <c r="AD19" s="7"/>
      <c r="AE19" s="7"/>
      <c r="AF19" s="7"/>
      <c r="AG19" s="7"/>
      <c r="AH19" s="7"/>
      <c r="AI19" s="49"/>
      <c r="AJ19" s="49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 spans="1:67" ht="15" customHeight="1" x14ac:dyDescent="0.25">
      <c r="A20" s="25"/>
      <c r="B20" s="26" t="s">
        <v>21</v>
      </c>
      <c r="C20" s="26">
        <f t="shared" ref="C20:R20" ca="1" si="6">SUM(C5:C19)</f>
        <v>0</v>
      </c>
      <c r="D20" s="26">
        <f t="shared" ca="1" si="6"/>
        <v>0</v>
      </c>
      <c r="E20" s="26">
        <f t="shared" ca="1" si="6"/>
        <v>0</v>
      </c>
      <c r="F20" s="26">
        <f t="shared" ca="1" si="6"/>
        <v>0</v>
      </c>
      <c r="G20" s="26">
        <f t="shared" ca="1" si="6"/>
        <v>0</v>
      </c>
      <c r="H20" s="26">
        <f ca="1">SUM(H5:H19)</f>
        <v>0</v>
      </c>
      <c r="I20" s="26">
        <f t="shared" ca="1" si="6"/>
        <v>0</v>
      </c>
      <c r="J20" s="26">
        <f t="shared" ca="1" si="6"/>
        <v>0</v>
      </c>
      <c r="K20" s="26">
        <f t="shared" ca="1" si="6"/>
        <v>0</v>
      </c>
      <c r="L20" s="26">
        <f t="shared" ca="1" si="6"/>
        <v>0</v>
      </c>
      <c r="M20" s="26">
        <f t="shared" ca="1" si="6"/>
        <v>0</v>
      </c>
      <c r="N20" s="26">
        <f t="shared" ca="1" si="6"/>
        <v>0</v>
      </c>
      <c r="O20" s="26">
        <f t="shared" ca="1" si="6"/>
        <v>0</v>
      </c>
      <c r="P20" s="26">
        <f t="shared" ca="1" si="6"/>
        <v>0</v>
      </c>
      <c r="Q20" s="26">
        <f t="shared" ca="1" si="6"/>
        <v>0</v>
      </c>
      <c r="R20" s="26">
        <f t="shared" ca="1" si="6"/>
        <v>0</v>
      </c>
      <c r="S20" s="7"/>
      <c r="T20" s="47"/>
      <c r="V20" s="7"/>
      <c r="W20" s="7"/>
      <c r="X20" s="7"/>
      <c r="Y20" s="7"/>
      <c r="Z20" s="7"/>
      <c r="AA20" s="49"/>
      <c r="AC20" s="7"/>
      <c r="AD20" s="7"/>
      <c r="AE20" s="7"/>
      <c r="AF20" s="7"/>
      <c r="AG20" s="7"/>
      <c r="AH20" s="7"/>
      <c r="AI20" s="49"/>
      <c r="AJ20" s="49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</row>
    <row r="21" spans="1:67" ht="15" customHeight="1" x14ac:dyDescent="0.25">
      <c r="A21" s="7"/>
      <c r="B21" s="27" t="s">
        <v>22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7"/>
      <c r="P21" s="7"/>
      <c r="Q21" s="7"/>
      <c r="R21" s="7"/>
      <c r="S21" s="7"/>
      <c r="T21" s="47"/>
      <c r="V21" s="7"/>
      <c r="W21" s="7"/>
      <c r="X21" s="7"/>
      <c r="Y21" s="7"/>
      <c r="Z21" s="7"/>
      <c r="AA21" s="49"/>
      <c r="AC21" s="7"/>
      <c r="AD21" s="7"/>
      <c r="AE21" s="7"/>
      <c r="AF21" s="7"/>
      <c r="AG21" s="7"/>
      <c r="AH21" s="7"/>
      <c r="AI21" s="49"/>
      <c r="AJ21" s="49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</row>
    <row r="22" spans="1:67" ht="15" customHeight="1" x14ac:dyDescent="0.25">
      <c r="A22" s="7"/>
      <c r="B22" s="29" t="s">
        <v>23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49"/>
      <c r="AC22" s="7"/>
      <c r="AD22" s="7"/>
      <c r="AE22" s="7"/>
      <c r="AF22" s="7"/>
      <c r="AG22" s="7"/>
      <c r="AH22" s="7"/>
      <c r="AI22" s="49"/>
      <c r="AJ22" s="49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</row>
    <row r="23" spans="1:67" ht="15" customHeight="1" x14ac:dyDescent="0.25">
      <c r="A23" s="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49"/>
      <c r="AC23" s="7"/>
      <c r="AD23" s="7"/>
      <c r="AE23" s="7"/>
      <c r="AF23" s="7"/>
      <c r="AG23" s="7"/>
      <c r="AH23" s="7"/>
      <c r="AI23" s="49"/>
      <c r="AJ23" s="49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</row>
    <row r="24" spans="1:67" ht="15" customHeight="1" x14ac:dyDescent="0.25">
      <c r="A24" s="7"/>
      <c r="B24" s="30" t="s">
        <v>24</v>
      </c>
      <c r="C24" s="7"/>
      <c r="D24" s="7">
        <f ca="1">+J20</f>
        <v>0</v>
      </c>
      <c r="E24" s="7"/>
      <c r="F24" s="7"/>
      <c r="G24" s="30" t="s">
        <v>25</v>
      </c>
      <c r="H24" s="30"/>
      <c r="I24" s="30"/>
      <c r="J24" s="30"/>
      <c r="K24" s="7" t="s">
        <v>26</v>
      </c>
      <c r="L24" s="7"/>
      <c r="M24" s="7">
        <f ca="1">+D35-H37-H46</f>
        <v>-50000</v>
      </c>
      <c r="N24" s="7"/>
      <c r="O24" s="20"/>
      <c r="P24" s="31"/>
      <c r="Q24" s="22"/>
      <c r="R24" s="22"/>
      <c r="S24" s="22"/>
      <c r="T24" s="22"/>
      <c r="U24" s="7"/>
      <c r="V24" s="7"/>
      <c r="W24" s="7"/>
      <c r="X24" s="7"/>
      <c r="Y24" s="7"/>
      <c r="Z24" s="7"/>
      <c r="AA24" s="7" t="str">
        <f t="array" ref="AA24">+UPPER(G2)</f>
        <v>PAN</v>
      </c>
      <c r="AB24" s="7" t="str">
        <f>+UPPER(A1)</f>
        <v>0</v>
      </c>
      <c r="AC24" s="18">
        <f ca="1">+M33-M35</f>
        <v>0</v>
      </c>
      <c r="AD24" s="18">
        <f ca="1">+R20</f>
        <v>0</v>
      </c>
      <c r="AE24" s="7"/>
      <c r="AF24" s="7"/>
      <c r="AG24" s="7"/>
      <c r="AH24" s="7"/>
      <c r="AI24" s="49"/>
      <c r="AJ24" s="49"/>
      <c r="AK24" s="7"/>
      <c r="AL24" s="7"/>
      <c r="AM24" s="7"/>
      <c r="AN24" s="7"/>
      <c r="AO24" s="7"/>
      <c r="AP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</row>
    <row r="25" spans="1:67" ht="15" customHeight="1" x14ac:dyDescent="0.25">
      <c r="A25" s="7"/>
      <c r="B25" s="30" t="s">
        <v>27</v>
      </c>
      <c r="C25" s="7"/>
      <c r="D25" s="7"/>
      <c r="E25" s="7"/>
      <c r="F25" s="32" t="s">
        <v>28</v>
      </c>
      <c r="G25" s="7" t="s">
        <v>13</v>
      </c>
      <c r="H25" s="7">
        <f ca="1">+IF(H20&gt;0,L20-H40,L20)</f>
        <v>0</v>
      </c>
      <c r="I25" s="7"/>
      <c r="J25" s="7"/>
      <c r="K25" s="7" t="s">
        <v>29</v>
      </c>
      <c r="L25" s="7"/>
      <c r="M25" s="33">
        <f ca="1">IF(AND(N3="M",M24&lt;=250000),0,IF(AND(N3="F",M24&lt;=250000),0,IF(AND(N3="M",M24&lt;=500000),ROUND((M24-250000)*5%,0),IF(AND(N3="F",M24&lt;=500000),ROUND((M24-250000)*5%,0),IF(AND(N3="M",M24&lt;=1000000),12500+ROUND((M24-500000)*20%,0),IF(AND(N3="F",M24&lt;=1000000),12500+ROUND((M24-500000)*20%,0),IF(AND(N3="M",M24&gt;=1000000),112500+ROUND((M24-1000000)*30%,0),112500+ROUND((M24-1000000)*30%,0))))))))</f>
        <v>0</v>
      </c>
      <c r="N25" s="7"/>
      <c r="O25" s="34"/>
      <c r="P25" s="18"/>
      <c r="Q25" s="18"/>
      <c r="R25" s="18"/>
      <c r="S25" s="18"/>
      <c r="T25" s="18"/>
      <c r="U25" s="7"/>
      <c r="V25" s="7"/>
      <c r="W25" s="7"/>
      <c r="X25" s="7"/>
      <c r="Y25" s="7"/>
      <c r="Z25" s="7"/>
      <c r="AA25" s="49"/>
      <c r="AC25" s="7"/>
      <c r="AD25" s="7"/>
      <c r="AE25" s="7"/>
      <c r="AF25" s="7"/>
      <c r="AG25" s="7"/>
      <c r="AH25" s="7"/>
      <c r="AI25" s="49"/>
      <c r="AJ25" s="49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</row>
    <row r="26" spans="1:67" ht="15" customHeight="1" x14ac:dyDescent="0.25">
      <c r="A26" s="7"/>
      <c r="B26" s="7" t="s">
        <v>30</v>
      </c>
      <c r="C26" s="7"/>
      <c r="D26" s="7">
        <v>50000</v>
      </c>
      <c r="E26" s="7"/>
      <c r="F26" s="32" t="s">
        <v>31</v>
      </c>
      <c r="G26" s="7" t="s">
        <v>14</v>
      </c>
      <c r="H26" s="7">
        <f ca="1">+M20</f>
        <v>0</v>
      </c>
      <c r="I26" s="7"/>
      <c r="J26" s="7"/>
      <c r="K26" s="7" t="s">
        <v>32</v>
      </c>
      <c r="L26" s="7"/>
      <c r="M26" s="33">
        <f ca="1">+IF(AND(B21="GN",(D24-H41)&lt;=250000,B22="OLD"),0,IF(AND(B21="SC",(D24-H41)&lt;=300000,B22="OLD"),0,IF(AND(B21="SSC",(D24-H41)&lt;=500000,B22="OLD"),0,IF(AND(B21="GN",B22="OLD",(D24-H41)&lt;=500000),ROUND(((D24-H41)-250000)*5%,0),IF(AND(B22="OLD",B21="SC",(D24-H41)&lt;=500000),ROUND(((D24-H41)-300000)*5%,0),IF(AND(B22="OLD",(D24-H41)&lt;=1000000,B21="GN"),ROUND(((D24-H41)-500000)*20%+(12500),0),IF(AND(B21="SC",B22="OLD",(D24-H41)&lt;=1000000),ROUND(((D24-H41)-500000)*20%+(10000),0),IF(AND(B21="SSC",B22="OLD",(D24-H41)&lt;=1000000),ROUND(((D24-H41)-500000)*20%,0),IF(AND(B22="OLD",B21="GN",(D24-H41)&gt;1000000),ROUND(((D24-H41)-1000000)*30%+(112500),0),IF(AND(B22="OLD",B21="SC",(D24-H41)&gt;1000000),ROUND(((D24-H41)-1000000)*30%+(110000),0),IF(AND(B21="SSC",B22="OLD",(D24-H41)&gt;1000000),ROUND(((D24-H41)-1000000)*30%+(100000),0),IF(AND(B22="NEW",(D24-H41)&lt;=250000),0,IF(AND(B22="NEW",(D24-H41)&lt;=500000),ROUND(((D24-H41)-250000)*5%,0),IF(AND(B22="NEW",(D24-H41)&lt;=750000),ROUND(((D24-H41)-500000)*10%+(12500),0),IF(AND(B22="NEW",(D24-H41)&lt;=1000000),ROUND(((D24-H41)-750000)*15%+(37500),0),IF(AND(B22="NEW",(D24-H41)&lt;=1250000),ROUND(((D24-H41)-1000000)*20%+(75000),0),IF(AND(B22="NEW",(D24-H41)&lt;=1500000),ROUND(((D24-H41)-1250000)*25%+(125000),0),IF(AND(B22="NEW",(D24-H41)&gt;1500000),ROUND(((D24-H41)-1500000)*30%+(187500),0)))))))))))))))))))</f>
        <v>0</v>
      </c>
      <c r="N26" s="7"/>
      <c r="O26" s="34"/>
      <c r="P26" s="18"/>
      <c r="Q26" s="7"/>
      <c r="R26" s="7"/>
      <c r="S26" s="7"/>
      <c r="T26" s="7"/>
      <c r="U26" s="7"/>
      <c r="V26" s="7"/>
      <c r="W26" s="7"/>
      <c r="X26" s="7"/>
      <c r="Y26" s="7"/>
      <c r="Z26" s="7"/>
      <c r="AA26" s="49"/>
      <c r="AC26" s="7"/>
      <c r="AD26" s="7"/>
      <c r="AE26" s="7"/>
      <c r="AF26" s="7"/>
      <c r="AG26" s="7"/>
      <c r="AH26" s="7"/>
      <c r="AI26" s="49"/>
      <c r="AJ26" s="49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</row>
    <row r="27" spans="1:67" ht="15" customHeight="1" x14ac:dyDescent="0.25">
      <c r="A27" s="7"/>
      <c r="B27" s="7" t="s">
        <v>8</v>
      </c>
      <c r="C27" s="7"/>
      <c r="D27" s="7">
        <f ca="1">+G20</f>
        <v>0</v>
      </c>
      <c r="E27" s="7"/>
      <c r="F27" s="32" t="s">
        <v>33</v>
      </c>
      <c r="G27" s="7" t="s">
        <v>34</v>
      </c>
      <c r="H27" s="7">
        <f ca="1">+N20</f>
        <v>0</v>
      </c>
      <c r="I27" s="7"/>
      <c r="J27" s="7"/>
      <c r="K27" s="7"/>
      <c r="L27" s="7"/>
      <c r="M27" s="7"/>
      <c r="N27" s="7"/>
      <c r="O27" s="34"/>
      <c r="P27" s="18"/>
      <c r="Q27" s="7"/>
      <c r="R27" s="7"/>
      <c r="S27" s="7"/>
      <c r="T27" s="7"/>
      <c r="U27" s="7"/>
      <c r="V27" s="7"/>
      <c r="W27" s="7"/>
      <c r="X27" s="7"/>
      <c r="Y27" s="7"/>
      <c r="Z27" s="7"/>
      <c r="AA27" s="49"/>
      <c r="AC27" s="7"/>
      <c r="AD27" s="7"/>
      <c r="AE27" s="7"/>
      <c r="AF27" s="7"/>
      <c r="AG27" s="7"/>
      <c r="AH27" s="7"/>
      <c r="AI27" s="49"/>
      <c r="AJ27" s="49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</row>
    <row r="28" spans="1:67" ht="15" customHeight="1" x14ac:dyDescent="0.25">
      <c r="A28" s="7"/>
      <c r="B28" s="35" t="s">
        <v>35</v>
      </c>
      <c r="C28" s="7"/>
      <c r="D28" s="7">
        <f ca="1">+K20</f>
        <v>0</v>
      </c>
      <c r="E28" s="7"/>
      <c r="F28" s="32" t="s">
        <v>36</v>
      </c>
      <c r="G28" s="7" t="s">
        <v>37</v>
      </c>
      <c r="H28" s="7">
        <v>0</v>
      </c>
      <c r="I28" s="7"/>
      <c r="J28" s="7"/>
      <c r="K28" s="7" t="s">
        <v>38</v>
      </c>
      <c r="L28" s="7"/>
      <c r="M28" s="36">
        <f ca="1">+IF(M25&gt;M26,M26,M25)</f>
        <v>0</v>
      </c>
      <c r="N28" s="7"/>
      <c r="O28" s="34"/>
      <c r="P28" s="18"/>
      <c r="Q28" s="7"/>
      <c r="R28" s="7"/>
      <c r="S28" s="7"/>
      <c r="T28" s="7"/>
      <c r="U28" s="7"/>
      <c r="V28" s="7"/>
      <c r="W28" s="7"/>
      <c r="X28" s="7"/>
      <c r="Y28" s="7"/>
      <c r="Z28" s="7"/>
      <c r="AA28" s="49"/>
      <c r="AC28" s="7"/>
      <c r="AD28" s="7"/>
      <c r="AE28" s="7"/>
      <c r="AF28" s="7"/>
      <c r="AG28" s="7"/>
      <c r="AH28" s="7"/>
      <c r="AI28" s="49"/>
      <c r="AJ28" s="49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</row>
    <row r="29" spans="1:67" ht="15" customHeight="1" x14ac:dyDescent="0.25">
      <c r="A29" s="7"/>
      <c r="B29" s="7" t="s">
        <v>39</v>
      </c>
      <c r="C29" s="7"/>
      <c r="D29" s="7">
        <v>0</v>
      </c>
      <c r="E29" s="7"/>
      <c r="F29" s="32" t="s">
        <v>40</v>
      </c>
      <c r="G29" s="7" t="s">
        <v>41</v>
      </c>
      <c r="H29" s="7">
        <f ca="1">+IF(O4="HBA HOUSE",O20,0)</f>
        <v>0</v>
      </c>
      <c r="I29" s="35"/>
      <c r="J29" s="35"/>
      <c r="K29" s="7"/>
      <c r="L29" s="7"/>
      <c r="M29" s="7"/>
      <c r="N29" s="7"/>
      <c r="O29" s="34"/>
      <c r="P29" s="18"/>
      <c r="Q29" s="7"/>
      <c r="R29" s="7"/>
      <c r="S29" s="7"/>
      <c r="T29" s="7"/>
      <c r="U29" s="7"/>
      <c r="V29" s="7"/>
      <c r="W29" s="7"/>
      <c r="X29" s="7"/>
      <c r="Y29" s="7"/>
      <c r="Z29" s="7"/>
      <c r="AA29" s="49"/>
      <c r="AC29" s="7"/>
      <c r="AD29" s="7"/>
      <c r="AE29" s="7"/>
      <c r="AF29" s="7"/>
      <c r="AG29" s="7"/>
      <c r="AH29" s="7"/>
      <c r="AI29" s="49"/>
      <c r="AJ29" s="49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</row>
    <row r="30" spans="1:67" ht="15" customHeight="1" x14ac:dyDescent="0.25">
      <c r="A30" s="7"/>
      <c r="B30" s="35" t="s">
        <v>42</v>
      </c>
      <c r="C30" s="7"/>
      <c r="D30" s="18">
        <f>IF(C42=0,0,MIN(D39:D43))</f>
        <v>0</v>
      </c>
      <c r="E30" s="7"/>
      <c r="F30" s="32" t="s">
        <v>43</v>
      </c>
      <c r="G30" s="35" t="s">
        <v>44</v>
      </c>
      <c r="H30" s="7">
        <v>0</v>
      </c>
      <c r="I30" s="7"/>
      <c r="J30" s="7"/>
      <c r="K30" s="7" t="s">
        <v>45</v>
      </c>
      <c r="L30" s="7"/>
      <c r="M30" s="33">
        <f ca="1">IF(M24&gt;500000,0,IF(M28&gt;=12500,12500,M28))</f>
        <v>0</v>
      </c>
      <c r="N30" s="7"/>
      <c r="O30" s="34"/>
      <c r="P30" s="18"/>
      <c r="Q30" s="7"/>
      <c r="R30" s="7"/>
      <c r="S30" s="7"/>
      <c r="T30" s="7"/>
      <c r="U30" s="7"/>
      <c r="V30" s="7"/>
      <c r="W30" s="7"/>
      <c r="X30" s="7"/>
      <c r="Y30" s="7"/>
      <c r="Z30" s="7"/>
      <c r="AA30" s="49"/>
      <c r="AC30" s="7"/>
      <c r="AD30" s="7"/>
      <c r="AE30" s="7"/>
      <c r="AF30" s="7"/>
      <c r="AG30" s="7"/>
      <c r="AH30" s="7"/>
      <c r="AI30" s="49"/>
      <c r="AJ30" s="49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</row>
    <row r="31" spans="1:67" ht="15" customHeight="1" x14ac:dyDescent="0.25">
      <c r="A31" s="7"/>
      <c r="B31" s="7" t="s">
        <v>46</v>
      </c>
      <c r="C31" s="7"/>
      <c r="D31" s="7">
        <v>0</v>
      </c>
      <c r="E31" s="7"/>
      <c r="F31" s="32" t="s">
        <v>47</v>
      </c>
      <c r="G31" s="7" t="s">
        <v>48</v>
      </c>
      <c r="H31" s="7">
        <v>0</v>
      </c>
      <c r="I31" s="7"/>
      <c r="J31" s="7"/>
      <c r="K31" s="7" t="s">
        <v>49</v>
      </c>
      <c r="L31" s="7"/>
      <c r="M31" s="36">
        <f ca="1">+M28-M30</f>
        <v>0</v>
      </c>
      <c r="N31" s="7"/>
      <c r="O31" s="34"/>
      <c r="P31" s="18"/>
      <c r="Q31" s="7"/>
      <c r="R31" s="7"/>
      <c r="S31" s="7"/>
      <c r="T31" s="7"/>
      <c r="U31" s="7"/>
      <c r="V31" s="7"/>
      <c r="W31" s="7"/>
      <c r="X31" s="7"/>
      <c r="Y31" s="7"/>
      <c r="Z31" s="7"/>
      <c r="AA31" s="49"/>
      <c r="AC31" s="7"/>
      <c r="AD31" s="7"/>
      <c r="AE31" s="7"/>
      <c r="AF31" s="7"/>
      <c r="AG31" s="7"/>
      <c r="AH31" s="7"/>
      <c r="AI31" s="49"/>
      <c r="AJ31" s="49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</row>
    <row r="32" spans="1:67" ht="15" customHeight="1" x14ac:dyDescent="0.25">
      <c r="A32" s="7"/>
      <c r="B32" s="35" t="s">
        <v>50</v>
      </c>
      <c r="C32" s="7"/>
      <c r="D32" s="7">
        <f>+IF(O4=B32,O20,0)</f>
        <v>0</v>
      </c>
      <c r="E32" s="7"/>
      <c r="F32" s="32" t="s">
        <v>51</v>
      </c>
      <c r="G32" s="7" t="s">
        <v>52</v>
      </c>
      <c r="H32" s="7">
        <v>0</v>
      </c>
      <c r="I32" s="7"/>
      <c r="J32" s="7"/>
      <c r="K32" s="7" t="s">
        <v>53</v>
      </c>
      <c r="L32" s="7"/>
      <c r="M32" s="7">
        <f ca="1">ROUND(M31*4%,0)</f>
        <v>0</v>
      </c>
      <c r="N32" s="7"/>
      <c r="O32" s="34"/>
      <c r="P32" s="18"/>
      <c r="Q32" s="7"/>
      <c r="R32" s="7"/>
      <c r="S32" s="7"/>
      <c r="T32" s="7"/>
      <c r="U32" s="7"/>
      <c r="V32" s="7"/>
      <c r="W32" s="7"/>
      <c r="X32" s="7"/>
      <c r="Y32" s="7"/>
      <c r="Z32" s="7"/>
      <c r="AA32" s="49"/>
      <c r="AC32" s="7"/>
      <c r="AD32" s="7"/>
      <c r="AE32" s="7"/>
      <c r="AF32" s="7"/>
      <c r="AG32" s="7"/>
      <c r="AH32" s="7"/>
      <c r="AI32" s="49"/>
      <c r="AJ32" s="49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</row>
    <row r="33" spans="1:67" ht="15" customHeight="1" x14ac:dyDescent="0.25">
      <c r="A33" s="7"/>
      <c r="B33" s="7"/>
      <c r="C33" s="7"/>
      <c r="D33" s="7"/>
      <c r="E33" s="7"/>
      <c r="F33" s="32" t="s">
        <v>54</v>
      </c>
      <c r="G33" s="7" t="s">
        <v>55</v>
      </c>
      <c r="H33" s="7">
        <v>0</v>
      </c>
      <c r="I33" s="7"/>
      <c r="J33" s="37"/>
      <c r="K33" s="35" t="s">
        <v>56</v>
      </c>
      <c r="L33" s="35"/>
      <c r="M33" s="36">
        <f ca="1">+M31+M32</f>
        <v>0</v>
      </c>
      <c r="N33" s="7"/>
      <c r="O33" s="34"/>
      <c r="P33" s="18"/>
      <c r="Q33" s="7"/>
      <c r="R33" s="7"/>
      <c r="S33" s="7"/>
      <c r="T33" s="7"/>
      <c r="U33" s="7"/>
      <c r="V33" s="7"/>
      <c r="W33" s="7"/>
      <c r="X33" s="7"/>
      <c r="Y33" s="7"/>
      <c r="Z33" s="7"/>
      <c r="AA33" s="49"/>
      <c r="AC33" s="7"/>
      <c r="AD33" s="7"/>
      <c r="AE33" s="7"/>
      <c r="AF33" s="7"/>
      <c r="AG33" s="7"/>
      <c r="AH33" s="7"/>
      <c r="AI33" s="49"/>
      <c r="AJ33" s="49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</row>
    <row r="34" spans="1:67" ht="15" customHeight="1" x14ac:dyDescent="0.25">
      <c r="A34" s="7"/>
      <c r="B34" s="38" t="s">
        <v>57</v>
      </c>
      <c r="C34" s="7"/>
      <c r="D34" s="7">
        <f ca="1">SUM(D26:D31)+IF(D32&gt;200000, 200000,D32 )</f>
        <v>50000</v>
      </c>
      <c r="E34" s="7"/>
      <c r="F34" s="32" t="s">
        <v>58</v>
      </c>
      <c r="G34" s="7" t="s">
        <v>59</v>
      </c>
      <c r="H34" s="7">
        <v>0</v>
      </c>
      <c r="I34" s="7"/>
      <c r="J34" s="7"/>
      <c r="K34" s="7" t="s">
        <v>60</v>
      </c>
      <c r="L34" s="7"/>
      <c r="M34" s="18">
        <f ca="1">+R20</f>
        <v>0</v>
      </c>
      <c r="N34" s="7"/>
      <c r="O34" s="34"/>
      <c r="P34" s="18"/>
      <c r="Q34" s="7"/>
      <c r="R34" s="7"/>
      <c r="S34" s="7"/>
      <c r="T34" s="7"/>
      <c r="U34" s="7"/>
      <c r="V34" s="7"/>
      <c r="W34" s="7"/>
      <c r="X34" s="7"/>
      <c r="Y34" s="7"/>
      <c r="Z34" s="7"/>
      <c r="AA34" s="49"/>
      <c r="AC34" s="7"/>
      <c r="AD34" s="7"/>
      <c r="AE34" s="7"/>
      <c r="AF34" s="7"/>
      <c r="AG34" s="7"/>
      <c r="AH34" s="7"/>
      <c r="AI34" s="49"/>
      <c r="AJ34" s="49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</row>
    <row r="35" spans="1:67" ht="24" customHeight="1" x14ac:dyDescent="0.25">
      <c r="A35" s="7"/>
      <c r="B35" s="77" t="s">
        <v>61</v>
      </c>
      <c r="C35" s="7"/>
      <c r="D35" s="39">
        <f ca="1">+D24-D34</f>
        <v>-50000</v>
      </c>
      <c r="E35" s="7"/>
      <c r="F35" s="32" t="s">
        <v>62</v>
      </c>
      <c r="G35" s="7" t="s">
        <v>63</v>
      </c>
      <c r="H35" s="7">
        <v>0</v>
      </c>
      <c r="I35" s="7"/>
      <c r="J35" s="7"/>
      <c r="K35" s="7" t="s">
        <v>64</v>
      </c>
      <c r="L35" s="7"/>
      <c r="M35" s="36">
        <v>0</v>
      </c>
      <c r="N35" s="7"/>
      <c r="O35" s="34"/>
      <c r="P35" s="18"/>
      <c r="Q35" s="7"/>
      <c r="R35" s="7"/>
      <c r="S35" s="7"/>
      <c r="T35" s="7"/>
      <c r="U35" s="7"/>
      <c r="V35" s="7"/>
      <c r="W35" s="7"/>
      <c r="X35" s="7"/>
      <c r="Y35" s="7"/>
      <c r="Z35" s="7"/>
      <c r="AA35" s="49"/>
      <c r="AC35" s="7"/>
      <c r="AD35" s="7"/>
      <c r="AE35" s="7"/>
      <c r="AF35" s="7"/>
      <c r="AG35" s="7"/>
      <c r="AH35" s="7"/>
      <c r="AI35" s="49"/>
      <c r="AJ35" s="49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</row>
    <row r="36" spans="1:67" ht="15" customHeight="1" x14ac:dyDescent="0.25">
      <c r="A36" s="7"/>
      <c r="B36" s="7"/>
      <c r="C36" s="7"/>
      <c r="D36" s="7"/>
      <c r="E36" s="7"/>
      <c r="F36" s="7"/>
      <c r="G36" s="40" t="s">
        <v>65</v>
      </c>
      <c r="H36" s="7">
        <f ca="1">SUM(H25:H35)</f>
        <v>0</v>
      </c>
      <c r="I36" s="7"/>
      <c r="J36" s="30"/>
      <c r="K36" s="35"/>
      <c r="L36" s="7"/>
      <c r="M36" s="18"/>
      <c r="N36" s="7"/>
      <c r="O36" s="34"/>
      <c r="P36" s="18"/>
      <c r="Q36" s="7"/>
      <c r="R36" s="7"/>
      <c r="S36" s="7"/>
      <c r="T36" s="7"/>
      <c r="U36" s="7"/>
      <c r="V36" s="7"/>
      <c r="W36" s="7"/>
      <c r="X36" s="7"/>
      <c r="Y36" s="7"/>
      <c r="Z36" s="7"/>
      <c r="AA36" s="49"/>
      <c r="AC36" s="7"/>
      <c r="AD36" s="7"/>
      <c r="AE36" s="7"/>
      <c r="AF36" s="7"/>
      <c r="AG36" s="7"/>
      <c r="AH36" s="7"/>
      <c r="AI36" s="49"/>
      <c r="AJ36" s="49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</row>
    <row r="37" spans="1:67" ht="15" customHeight="1" thickBot="1" x14ac:dyDescent="0.3">
      <c r="A37" s="7"/>
      <c r="B37" s="7"/>
      <c r="C37" s="7"/>
      <c r="D37" s="7"/>
      <c r="E37" s="7"/>
      <c r="F37" s="7"/>
      <c r="G37" s="38" t="s">
        <v>66</v>
      </c>
      <c r="H37" s="39">
        <f ca="1">+IF(H36&lt;=150000,H36,150000)</f>
        <v>0</v>
      </c>
      <c r="I37" s="7"/>
      <c r="J37" s="3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49"/>
      <c r="AC37" s="7"/>
      <c r="AD37" s="7"/>
      <c r="AE37" s="7"/>
      <c r="AF37" s="7"/>
      <c r="AG37" s="7"/>
      <c r="AH37" s="7"/>
      <c r="AI37" s="49"/>
      <c r="AJ37" s="49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</row>
    <row r="38" spans="1:67" ht="15.75" customHeight="1" thickBot="1" x14ac:dyDescent="0.3">
      <c r="A38" s="7"/>
      <c r="B38" s="38" t="s">
        <v>67</v>
      </c>
      <c r="C38" s="38"/>
      <c r="D38" s="38"/>
      <c r="E38" s="7"/>
      <c r="F38" s="7"/>
      <c r="G38" s="7"/>
      <c r="H38" s="7"/>
      <c r="I38" s="30"/>
      <c r="J38" s="7"/>
      <c r="K38" s="7" t="s">
        <v>68</v>
      </c>
      <c r="L38" s="42"/>
      <c r="M38" s="41">
        <f ca="1">+M33-M34-M35</f>
        <v>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49"/>
      <c r="AC38" s="7"/>
      <c r="AD38" s="7"/>
      <c r="AE38" s="7"/>
      <c r="AF38" s="7"/>
      <c r="AG38" s="7"/>
      <c r="AH38" s="7"/>
      <c r="AI38" s="49"/>
      <c r="AJ38" s="49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</row>
    <row r="39" spans="1:67" ht="15" customHeight="1" x14ac:dyDescent="0.25">
      <c r="A39" s="7"/>
      <c r="B39" s="4" t="s">
        <v>69</v>
      </c>
      <c r="C39" s="7"/>
      <c r="D39" s="4">
        <f ca="1">+E20</f>
        <v>0</v>
      </c>
      <c r="E39" s="7"/>
      <c r="F39" s="7"/>
      <c r="G39" s="30" t="s">
        <v>70</v>
      </c>
      <c r="H39" s="30"/>
      <c r="I39" s="3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49"/>
      <c r="AC39" s="7"/>
      <c r="AD39" s="7"/>
      <c r="AE39" s="7"/>
      <c r="AF39" s="7"/>
      <c r="AG39" s="7"/>
      <c r="AH39" s="7"/>
      <c r="AI39" s="49"/>
      <c r="AJ39" s="49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</row>
    <row r="40" spans="1:67" ht="15" customHeight="1" x14ac:dyDescent="0.25">
      <c r="A40" s="7"/>
      <c r="B40" s="7" t="s">
        <v>71</v>
      </c>
      <c r="C40" s="7"/>
      <c r="D40" s="22">
        <f ca="1">+(C20+D20)*40/100</f>
        <v>0</v>
      </c>
      <c r="E40" s="7"/>
      <c r="F40" s="32" t="s">
        <v>28</v>
      </c>
      <c r="G40" s="7" t="s">
        <v>72</v>
      </c>
      <c r="H40" s="43">
        <f ca="1">+IF(AND(H20&gt;0,L20&gt;50000),50000,IF(H20&gt;0,L20,0))</f>
        <v>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49"/>
      <c r="AC40" s="7"/>
      <c r="AD40" s="7"/>
      <c r="AE40" s="7"/>
      <c r="AF40" s="7"/>
      <c r="AG40" s="7"/>
      <c r="AH40" s="7"/>
      <c r="AI40" s="49"/>
      <c r="AJ40" s="49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</row>
    <row r="41" spans="1:67" ht="15" customHeight="1" x14ac:dyDescent="0.25">
      <c r="A41" s="7"/>
      <c r="B41" s="7" t="s">
        <v>73</v>
      </c>
      <c r="C41" s="22">
        <f ca="1">+(C20+D20)*10/100</f>
        <v>0</v>
      </c>
      <c r="D41" s="7"/>
      <c r="E41" s="7"/>
      <c r="F41" s="32" t="s">
        <v>31</v>
      </c>
      <c r="G41" s="7" t="s">
        <v>9</v>
      </c>
      <c r="H41" s="7">
        <f ca="1">+H20</f>
        <v>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49"/>
      <c r="AC41" s="7"/>
      <c r="AD41" s="7"/>
      <c r="AE41" s="7"/>
      <c r="AF41" s="7"/>
      <c r="AG41" s="7"/>
      <c r="AH41" s="7"/>
      <c r="AI41" s="49"/>
      <c r="AJ41" s="49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</row>
    <row r="42" spans="1:67" ht="15" customHeight="1" x14ac:dyDescent="0.25">
      <c r="A42" s="7"/>
      <c r="B42" s="4" t="s">
        <v>19</v>
      </c>
      <c r="C42" s="44">
        <v>0</v>
      </c>
      <c r="D42" s="7"/>
      <c r="E42" s="7"/>
      <c r="F42" s="32" t="s">
        <v>33</v>
      </c>
      <c r="G42" s="35" t="s">
        <v>74</v>
      </c>
      <c r="H42" s="43">
        <f t="array" aca="1" ref="H42" ca="1">IFERROR(SUM(SUMIF(OFFSET('MAY-21'!$A$1,MATCH(Sheet1!A1,'MAY-21'!$A:$A,0),5,22,1),{"*C M Relief Fund*"},OFFSET('MAY-21'!$A$1,MATCH(Sheet1!A1,'MAY-21'!$A:$A,0),6,22,1)))+SUM(SUMIF(OFFSET('MAY-21'!$A$1,MATCH(Sheet1!A1,'MAY-21'!$A:$A,0),2,22,1),{"*C M Relief Fund*"},OFFSET('MAY-21'!$A$1,MATCH(Sheet1!A1,'MAY-21'!$A:$A,0),3,22,1))),0)</f>
        <v>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49"/>
      <c r="AC42" s="7"/>
      <c r="AD42" s="7"/>
      <c r="AE42" s="7"/>
      <c r="AF42" s="7"/>
      <c r="AG42" s="7"/>
      <c r="AH42" s="7"/>
      <c r="AI42" s="49"/>
      <c r="AJ42" s="49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</row>
    <row r="43" spans="1:67" ht="15" customHeight="1" x14ac:dyDescent="0.25">
      <c r="A43" s="7"/>
      <c r="B43" s="7" t="s">
        <v>75</v>
      </c>
      <c r="C43" s="7"/>
      <c r="D43" s="22">
        <f ca="1">+IF(C42&gt;C41,C42-C41, 0)</f>
        <v>0</v>
      </c>
      <c r="E43" s="7"/>
      <c r="F43" s="32" t="s">
        <v>76</v>
      </c>
      <c r="G43" s="35" t="s">
        <v>77</v>
      </c>
      <c r="H43" s="43">
        <v>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49"/>
      <c r="AC43" s="7"/>
      <c r="AD43" s="7"/>
      <c r="AE43" s="7"/>
      <c r="AF43" s="7"/>
      <c r="AG43" s="7"/>
      <c r="AH43" s="7"/>
      <c r="AI43" s="49"/>
      <c r="AJ43" s="49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</row>
    <row r="44" spans="1:67" ht="15" customHeight="1" x14ac:dyDescent="0.25">
      <c r="A44" s="7"/>
      <c r="B44" s="7"/>
      <c r="C44" s="7"/>
      <c r="D44" s="7"/>
      <c r="E44" s="7"/>
      <c r="F44" s="32" t="s">
        <v>40</v>
      </c>
      <c r="G44" s="7" t="s">
        <v>78</v>
      </c>
      <c r="H44" s="7">
        <v>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49"/>
      <c r="AC44" s="7"/>
      <c r="AD44" s="7"/>
      <c r="AE44" s="7"/>
      <c r="AF44" s="7"/>
      <c r="AG44" s="7"/>
      <c r="AH44" s="7"/>
      <c r="AI44" s="49"/>
      <c r="AJ44" s="49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</row>
    <row r="45" spans="1:67" ht="15" customHeight="1" x14ac:dyDescent="0.25">
      <c r="A45" s="7"/>
      <c r="B45" s="7"/>
      <c r="C45" s="7"/>
      <c r="D45" s="7"/>
      <c r="E45" s="7"/>
      <c r="F45" s="32" t="s">
        <v>43</v>
      </c>
      <c r="G45" s="7" t="s">
        <v>79</v>
      </c>
      <c r="H45" s="7">
        <v>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49"/>
      <c r="AC45" s="7"/>
      <c r="AD45" s="7"/>
      <c r="AE45" s="7"/>
      <c r="AF45" s="7"/>
      <c r="AG45" s="7"/>
      <c r="AH45" s="7"/>
      <c r="AI45" s="49"/>
      <c r="AJ45" s="49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</row>
    <row r="46" spans="1:67" ht="15" customHeight="1" x14ac:dyDescent="0.25">
      <c r="A46" s="4"/>
      <c r="B46" s="4"/>
      <c r="C46" s="4"/>
      <c r="D46" s="4"/>
      <c r="E46" s="4"/>
      <c r="F46" s="7"/>
      <c r="G46" s="7"/>
      <c r="H46" s="39">
        <f ca="1">SUM(H40:H45)</f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8"/>
      <c r="AC46" s="4"/>
      <c r="AD46" s="4"/>
      <c r="AE46" s="4"/>
      <c r="AF46" s="4"/>
      <c r="AG46" s="4"/>
      <c r="AH46" s="4"/>
      <c r="AI46" s="48"/>
      <c r="AJ46" s="48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</row>
    <row r="47" spans="1:67" ht="15" customHeight="1" x14ac:dyDescent="0.25">
      <c r="A47" s="51" t="str">
        <f>+INDEX('EMP NAMES'!D:D,Sheet1!U51)</f>
        <v/>
      </c>
      <c r="B47" s="4"/>
      <c r="C47" s="5"/>
      <c r="D47" s="3"/>
      <c r="E47" s="4"/>
      <c r="F47" s="4"/>
      <c r="G47" s="3"/>
      <c r="H47" s="3"/>
      <c r="I47" s="6" t="str">
        <f ca="1">+IF(M71=M74,"OLD","NEW")</f>
        <v>OLD</v>
      </c>
      <c r="J47" s="3"/>
      <c r="K47" s="3"/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8"/>
      <c r="AC47" s="4"/>
      <c r="AD47" s="4"/>
      <c r="AE47" s="4"/>
      <c r="AF47" s="4"/>
      <c r="AG47" s="4"/>
      <c r="AH47" s="4"/>
      <c r="AI47" s="48"/>
      <c r="AJ47" s="48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</row>
    <row r="48" spans="1:67" ht="15" customHeight="1" x14ac:dyDescent="0.25">
      <c r="A48" s="4"/>
      <c r="C48" s="5"/>
      <c r="D48" s="3"/>
      <c r="E48" s="3"/>
      <c r="F48" s="3"/>
      <c r="G48" s="3" t="str">
        <f>IFERROR(INDEX('EMP NAMES'!E:E,Sheet1!U51),"PAN")</f>
        <v>PAN</v>
      </c>
      <c r="H48" s="3"/>
      <c r="I48" s="3"/>
      <c r="J48" s="3"/>
      <c r="K48" s="3"/>
      <c r="L48" s="3"/>
      <c r="M48" s="3"/>
      <c r="N48" s="3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49"/>
      <c r="AC48" s="7"/>
      <c r="AD48" s="7"/>
      <c r="AE48" s="7"/>
      <c r="AF48" s="7"/>
      <c r="AG48" s="7"/>
      <c r="AH48" s="7"/>
      <c r="AI48" s="49"/>
      <c r="AJ48" s="49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 spans="1:67" ht="15" customHeight="1" x14ac:dyDescent="0.25">
      <c r="A49" s="7"/>
      <c r="B49" s="4"/>
      <c r="C49" s="5"/>
      <c r="D49" s="8"/>
      <c r="E49" s="8"/>
      <c r="F49" s="8"/>
      <c r="G49" s="8"/>
      <c r="H49" s="8"/>
      <c r="I49" s="8"/>
      <c r="J49" s="8"/>
      <c r="K49" s="8"/>
      <c r="L49" s="8"/>
      <c r="M49" s="8"/>
      <c r="N49" s="9" t="s">
        <v>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65"/>
      <c r="AC49" s="66"/>
      <c r="AD49" s="66"/>
      <c r="AE49" s="66"/>
      <c r="AF49" s="66"/>
      <c r="AG49" s="66"/>
      <c r="AH49" s="66"/>
      <c r="AI49" s="65"/>
      <c r="AJ49" s="65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9"/>
      <c r="BH49" s="69"/>
      <c r="BI49" s="69"/>
      <c r="BJ49" s="69"/>
      <c r="BK49" s="69"/>
      <c r="BL49" s="69"/>
      <c r="BM49" s="69"/>
      <c r="BN49" s="69"/>
      <c r="BO49" s="69"/>
    </row>
    <row r="50" spans="1:67" ht="51" customHeight="1" x14ac:dyDescent="0.25">
      <c r="A50" s="10" t="s">
        <v>2</v>
      </c>
      <c r="B50" s="11" t="s">
        <v>3</v>
      </c>
      <c r="C50" s="11" t="s">
        <v>4</v>
      </c>
      <c r="D50" s="11" t="s">
        <v>5</v>
      </c>
      <c r="E50" s="11" t="s">
        <v>6</v>
      </c>
      <c r="F50" s="11" t="s">
        <v>7</v>
      </c>
      <c r="G50" s="11" t="s">
        <v>8</v>
      </c>
      <c r="H50" s="12" t="s">
        <v>9</v>
      </c>
      <c r="I50" s="11" t="s">
        <v>10</v>
      </c>
      <c r="J50" s="11" t="s">
        <v>11</v>
      </c>
      <c r="K50" s="11" t="s">
        <v>12</v>
      </c>
      <c r="L50" s="11" t="s">
        <v>13</v>
      </c>
      <c r="M50" s="11" t="s">
        <v>14</v>
      </c>
      <c r="N50" s="11" t="s">
        <v>15</v>
      </c>
      <c r="O50" s="11" t="s">
        <v>16</v>
      </c>
      <c r="P50" s="11" t="s">
        <v>17</v>
      </c>
      <c r="Q50" s="11" t="s">
        <v>18</v>
      </c>
      <c r="R50" s="12" t="s">
        <v>85</v>
      </c>
      <c r="S50" s="37" t="s">
        <v>82</v>
      </c>
      <c r="T50" s="13"/>
      <c r="U50" s="75" t="s">
        <v>112</v>
      </c>
      <c r="V50" s="75" t="s">
        <v>88</v>
      </c>
      <c r="W50" s="75" t="s">
        <v>86</v>
      </c>
      <c r="X50" s="75" t="s">
        <v>87</v>
      </c>
      <c r="Y50" s="75" t="s">
        <v>89</v>
      </c>
      <c r="Z50" s="75" t="s">
        <v>1</v>
      </c>
      <c r="AA50" s="75" t="s">
        <v>90</v>
      </c>
      <c r="AB50" s="76" t="s">
        <v>91</v>
      </c>
      <c r="AC50" s="75" t="s">
        <v>92</v>
      </c>
      <c r="AD50" s="75" t="s">
        <v>93</v>
      </c>
      <c r="AE50" s="75" t="s">
        <v>113</v>
      </c>
      <c r="AF50" s="75" t="s">
        <v>114</v>
      </c>
      <c r="AG50" s="75" t="s">
        <v>18</v>
      </c>
      <c r="AH50" s="75" t="s">
        <v>94</v>
      </c>
      <c r="AI50" s="75" t="s">
        <v>95</v>
      </c>
      <c r="AJ50" s="75" t="s">
        <v>18</v>
      </c>
      <c r="AK50" s="75" t="s">
        <v>96</v>
      </c>
      <c r="AL50" s="75" t="s">
        <v>97</v>
      </c>
      <c r="AM50" s="75" t="s">
        <v>115</v>
      </c>
      <c r="AN50" s="75" t="s">
        <v>116</v>
      </c>
      <c r="AO50" s="75" t="s">
        <v>117</v>
      </c>
      <c r="AP50" s="75" t="s">
        <v>118</v>
      </c>
      <c r="AQ50" s="75" t="s">
        <v>98</v>
      </c>
      <c r="AR50" s="75" t="s">
        <v>99</v>
      </c>
      <c r="AS50" s="75" t="s">
        <v>100</v>
      </c>
      <c r="AT50" s="75" t="s">
        <v>101</v>
      </c>
      <c r="AU50" s="75" t="s">
        <v>102</v>
      </c>
      <c r="AV50" s="75" t="s">
        <v>103</v>
      </c>
      <c r="AW50" s="75" t="s">
        <v>104</v>
      </c>
      <c r="AX50" s="75" t="s">
        <v>105</v>
      </c>
      <c r="AY50" s="75" t="s">
        <v>106</v>
      </c>
      <c r="AZ50" s="75" t="s">
        <v>107</v>
      </c>
      <c r="BA50" s="75" t="s">
        <v>108</v>
      </c>
      <c r="BB50" s="75" t="s">
        <v>109</v>
      </c>
      <c r="BC50" s="75" t="s">
        <v>110</v>
      </c>
      <c r="BD50" s="75" t="s">
        <v>21</v>
      </c>
      <c r="BE50" s="75" t="s">
        <v>111</v>
      </c>
      <c r="BH50" s="68"/>
      <c r="BI50" s="68"/>
      <c r="BJ50" s="68"/>
      <c r="BK50" s="68"/>
      <c r="BL50" s="68"/>
      <c r="BM50" s="68"/>
      <c r="BN50" s="73"/>
      <c r="BO50" s="73"/>
    </row>
    <row r="51" spans="1:67" ht="15" customHeight="1" x14ac:dyDescent="0.25">
      <c r="A51" s="14">
        <v>1</v>
      </c>
      <c r="B51" s="15">
        <v>44256</v>
      </c>
      <c r="C51" s="16">
        <f ca="1">IFERROR(SUM(SUMIF(OFFSET('MAR-21'!$A$1,MATCH(Sheet1!A47,'MAR-21'!$A:$A,0),0,22,1),{"BA*C","BASIC??"},OFFSET('MAR-21'!$A$1,MATCH(Sheet1!A47,'MAR-21'!$A:$A,0),1,22,1))),0)</f>
        <v>0</v>
      </c>
      <c r="D51" s="16">
        <f ca="1">IFERROR(SUM(SUMIF(OFFSET('MAR-21'!$A$1,MATCH(Sheet1!A47,'MAR-21'!$A:$A,0),0,22,1),{"DA*C","D. *"},OFFSET('MAR-21'!$A$1,MATCH(Sheet1!A47,'MAR-21'!$A:$A,0),1,22,1))),0)</f>
        <v>0</v>
      </c>
      <c r="E51" s="16">
        <f ca="1">IFERROR(SUM(SUMIF(OFFSET('MAR-21'!$A$1,MATCH(Sheet1!A47,'MAR-21'!$A:$A,0),0,22,1),{"H. R. A."},OFFSET('MAR-21'!$A$1,MATCH(Sheet1!A47,'MAR-21'!$A:$A,0),1,22,1))),0)</f>
        <v>0</v>
      </c>
      <c r="F51" s="16">
        <f t="array" aca="1" ref="F51" ca="1">IFERROR(SUM(SUMIF(OFFSET('MAR-21'!$A$1,MATCH(Sheet1!A47,'MAR-21'!$A:$A,0),0,22,1),{"SP*AY*","S D A*","O.A.*","CLA (5th Pay)*","REF. Allow*","Trans.Allw.*","LF*","P. O.*","ARM*","Conv.A*","Otr.Allow*","Trans_Arrear*","BMIA*","Incentives*","Fit Allow*","KMA","NON-*","U.*","ME*A","PG*","Per.Tra"},OFFSET('MAR-21'!$A$1,MATCH(Sheet1!A47,'MAR-21'!$A:$A,0),1,22,1))),0)</f>
        <v>0</v>
      </c>
      <c r="G51" s="16">
        <f ca="1">IFERROR(SUM(SUMIF(OFFSET('MAR-21'!$A$1,MATCH(Sheet1!A47,'MAR-21'!$A:$A,0),0,22,1),{"WA"},OFFSET('MAR-21'!$A$1,MATCH(Sheet1!A47,'MAR-21'!$A:$A,0),1,22,1))),0)</f>
        <v>0</v>
      </c>
      <c r="H51" s="16">
        <f ca="1">IFERROR(SUM(SUMIF(OFFSET('MAR-21'!$A$1,MATCH(Sheet1!A47,'MAR-21'!$A:$A,0),0,22,1),{"DCPS","GROSS_ADJUST"},OFFSET('MAR-21'!$A$1,MATCH(Sheet1!A47,'MAR-21'!$A:$A,0),1,22,1))),0)</f>
        <v>0</v>
      </c>
      <c r="I51" s="16">
        <f t="array" aca="1" ref="I51" ca="1">+IFERROR(SUM(SUMIF(OFFSET('MAR-21'!$A$1,MATCH(Sheet1!A47,'MAR-21'!$A:$A,0),0,22,1),{"Basic*Arr*","7th Pay* Arr*"},OFFSET('MAR-21'!$A$1,MATCH(Sheet1!A47,'MAR-21'!$A:$A,0),1,22,1))),0)</f>
        <v>0</v>
      </c>
      <c r="J51" s="16">
        <f ca="1">+SUM(C51:I51)</f>
        <v>0</v>
      </c>
      <c r="K51" s="16">
        <f ca="1">IFERROR(SUM(SUMIF(OFFSET('MAR-21'!$A$1,MATCH(Sheet1!A47,'MAR-21'!$A:$A,0),2,22,1),{"*Pro*ax*"},OFFSET('MAR-21'!$A$1,MATCH(Sheet1!A47,'MAR-21'!$A:$A,0),3,22,1))),0)</f>
        <v>0</v>
      </c>
      <c r="L51" s="16">
        <f ca="1">IFERROR(SUM(SUMIF(OFFSET('MAR-21'!$A$1,MATCH(Sheet1!A47,'MAR-21'!$A:$A,0),2,22,1),{"GPF_G*","DCPS"},OFFSET('MAR-21'!$A$1,MATCH(Sheet1!A47,'MAR-21'!$A:$A,0),3,22,1))),0)</f>
        <v>0</v>
      </c>
      <c r="M51" s="16">
        <f ca="1">IFERROR(SUM(SUMIF(OFFSET('MAR-21'!$A$1,MATCH(Sheet1!A47,'MAR-21'!$A:$A,0),2,22,1),{"*GIS","GIS*R"},OFFSET('MAR-21'!$A$1,MATCH(Sheet1!A47,'MAR-21'!$A:$A,0),3,22,1))),0)</f>
        <v>0</v>
      </c>
      <c r="N51" s="16">
        <f ca="1">IFERROR(SUM(SUMIF(OFFSET('MAR-21'!$A$1,MATCH(Sheet1!A47,'MAR-21'!$A:$A,0),5,22,1),{"LI*1"},OFFSET('MAR-21'!$A$1,MATCH(Sheet1!A47,'MAR-21'!$A:$A,0),6,22,1))),0)</f>
        <v>0</v>
      </c>
      <c r="O51" s="16">
        <f t="array" aca="1" ref="O51" ca="1">IFERROR(SUM(SUMIF(OFFSET('MAR-21'!$A$1,MATCH(Sheet1!A47,'MAR-21'!$A:$A,0),2,22,1),{"*HB*USE","HB*INT"},OFFSET('MAR-21'!$A$1,MATCH(Sheet1!A47,'MAR-21'!$A:$A,0),3,22,1))),0)</f>
        <v>0</v>
      </c>
      <c r="P51" s="16">
        <f t="array" aca="1" ref="P51" ca="1">IFERROR(SUM(SUMIF(OFFSET('MAR-21'!$A$1,MATCH(Sheet1!A47,'MAR-21'!$A:$A,0),5,22,1),{"OTHE*1","CO.*1","OTHE*2","WEL*ND","BAN*1","CLU*ND","RD*1","LI*2","MIS*US","*TAINAN*","MCA*INT*","MAIN*NANCE*","*C M Relief Fund*","Co. Op. Hsg Soc.*","GPF_ADV*","Co. Op. Cr. Soc. 2*","DCPS DA","DCPS Pay","MCA Int"},OFFSET('MAR-21'!$A$1,MATCH(Sheet1!A47,'MAR-21'!$A:$A,0),6,22,1)))+SUM(SUMIF(OFFSET('MAR-21'!$A$1,MATCH(Sheet1!A47,'MAR-21'!$A:$A,0),2,22,1),{"MCA","COM*DV*","HB*ND","CO*SOC","HRR","SRV*H","ACC*CY","F.A","STAMP_REVENUE","*C M Relief Fund*","GPF_ADV*","Co. Op. Cr. Soc. 2*","DCPS DA","DCPS Pay","MCA Int"},OFFSET('MAR-21'!$A$1,MATCH(Sheet1!A47,'MAR-21'!$A:$A,0),3,22,1))),0)</f>
        <v>0</v>
      </c>
      <c r="Q51" s="17">
        <f ca="1">+J51-H51-K51-L51-M51-N51-O51-P51-R51</f>
        <v>0</v>
      </c>
      <c r="R51" s="17">
        <f ca="1">IFERROR(SUM(SUMIF(OFFSET('MAR-21'!$A$1,MATCH(Sheet1!A47,'MAR-21'!$A:$A,0),2,22,1),{"*I.*ax*"},OFFSET('MAR-21'!$A$1,MATCH(Sheet1!A47,'MAR-21'!$A:$A,0),3,22,1))),0)</f>
        <v>0</v>
      </c>
      <c r="S51" s="46" t="str">
        <f t="array" aca="1" ref="S51" ca="1">+IFERROR(IF(OFFSET('MAR-21'!$B$1,MATCH(Sheet1!A47,'MAR-21'!B:B,0)-2,0,1,1)=Sheet1!J51,IF(MID(IFERROR(OFFSET('MAR-21'!$B$1,MATCH(Sheet1!A47,'MAR-21'!$B:$B,0)-1,-1,1,1),"GROSS ERROR"),11,FIND(" ",OFFSET('MAR-21'!$B$1,MATCH(Sheet1!A47,'MAR-21'!$B:$B,0)-1,-1,1,1),12)-11)-Q51=0,"","NET MISMATCH"),"GROSS MISMATCH"),"")</f>
        <v/>
      </c>
      <c r="T51" s="47"/>
      <c r="U51" s="49">
        <f>+U5+1</f>
        <v>3</v>
      </c>
      <c r="V51" s="7" t="str">
        <f ca="1">+IF(M71=M74,"NO","YES")</f>
        <v>NO</v>
      </c>
      <c r="W51" s="7" t="str">
        <f>+G48</f>
        <v>PAN</v>
      </c>
      <c r="X51" s="7" t="str">
        <f>+A47</f>
        <v/>
      </c>
      <c r="Y51" s="7">
        <f ca="1">+D70</f>
        <v>0</v>
      </c>
      <c r="Z51" s="7">
        <v>0</v>
      </c>
      <c r="AA51" s="7">
        <v>0</v>
      </c>
      <c r="AB51" s="49">
        <f ca="1">+SUM(Y51:AA51)</f>
        <v>0</v>
      </c>
      <c r="AC51" s="49">
        <f>+D72</f>
        <v>50000</v>
      </c>
      <c r="AD51" s="7">
        <f ca="1">+D74</f>
        <v>0</v>
      </c>
      <c r="AE51" s="18">
        <f>+D76</f>
        <v>0</v>
      </c>
      <c r="AF51" s="7">
        <f ca="1">+D75+D73+D77</f>
        <v>0</v>
      </c>
      <c r="AG51" s="21">
        <f ca="1">+AB51-SUM(AC51:AF51)</f>
        <v>-50000</v>
      </c>
      <c r="AH51" s="7">
        <f>+IF(D78&gt;=200000,-200000,-D78)</f>
        <v>0</v>
      </c>
      <c r="AI51" s="21">
        <v>0</v>
      </c>
      <c r="AJ51" s="21">
        <f ca="1">+AG51+AH51+AI51</f>
        <v>-50000</v>
      </c>
      <c r="AK51" s="21">
        <f ca="1">+IF(H87&gt;0,H82-H71,H82)</f>
        <v>0</v>
      </c>
      <c r="AL51" s="21">
        <f t="array" aca="1" ref="AL51" ca="1">+IF(IF(AND((AK51+AN51)&gt;=150000,AK51&gt;=150000),150000-AN51,AK51)&lt;0,0,IF(AND((AK51+AN51)&gt;=150000,AK51&gt;=150000),150000-AN51,IF(AND(SUM(AK51+AN51)&gt;150000,AK51&lt;150000),150000-AN51,AK51)))</f>
        <v>0</v>
      </c>
      <c r="AM51" s="21">
        <f ca="1">+IF(H66&gt;0,L66,0)</f>
        <v>0</v>
      </c>
      <c r="AN51" s="21">
        <f ca="1">+AM51-AO51</f>
        <v>0</v>
      </c>
      <c r="AO51" s="21">
        <f ca="1">+IF(AND(H66&gt;0,L66&gt;50000),50000,IF(H66&gt;0,L66,0))</f>
        <v>0</v>
      </c>
      <c r="AP51" s="21">
        <f ca="1">+H66</f>
        <v>0</v>
      </c>
      <c r="AQ51" s="21">
        <f>+H89</f>
        <v>0</v>
      </c>
      <c r="AR51" s="21">
        <f>+H91</f>
        <v>0</v>
      </c>
      <c r="AS51" s="21">
        <f ca="1">+H88</f>
        <v>0</v>
      </c>
      <c r="AT51" s="21">
        <f>+H90</f>
        <v>0</v>
      </c>
      <c r="AU51" s="21">
        <f ca="1">+SUM(AQ51:AT51)+AP51+AO51+AN51+AL51</f>
        <v>0</v>
      </c>
      <c r="AV51" s="21">
        <f ca="1">+AJ51-AU51</f>
        <v>-50000</v>
      </c>
      <c r="AW51" s="21">
        <f ca="1">+M74</f>
        <v>0</v>
      </c>
      <c r="AX51" s="21">
        <f ca="1">+M76</f>
        <v>0</v>
      </c>
      <c r="AY51" s="21">
        <f ca="1">+M78</f>
        <v>0</v>
      </c>
      <c r="AZ51" s="21">
        <f>+M81</f>
        <v>0</v>
      </c>
      <c r="BA51" s="21">
        <f ca="1">+AW51-AX51+AY51-AZ51</f>
        <v>0</v>
      </c>
      <c r="BB51" s="21">
        <f ca="1">+M80</f>
        <v>0</v>
      </c>
      <c r="BC51" s="21">
        <v>0</v>
      </c>
      <c r="BD51" s="21">
        <f ca="1">+BB51+BC51</f>
        <v>0</v>
      </c>
      <c r="BE51" s="21">
        <f ca="1">+BA51-BD51</f>
        <v>0</v>
      </c>
      <c r="BF51" s="21" t="str">
        <f ca="1">+IF(AV51=M70,"","NOT OK")</f>
        <v/>
      </c>
      <c r="BH51" s="64" t="str">
        <f>+G48</f>
        <v>PAN</v>
      </c>
      <c r="BI51" s="47" t="str">
        <f>+A47</f>
        <v/>
      </c>
      <c r="BJ51" s="18" t="str">
        <f t="array" aca="1" ref="BJ51" ca="1">IFERROR(OFFSET('MAR-21'!$B$1,MATCH(Sheet1!A47,'MAR-21'!$B:$B,0)+1,0,1,1),"")</f>
        <v/>
      </c>
      <c r="BK51" s="64">
        <f t="shared" ref="BK51:BK63" ca="1" si="7">+J51</f>
        <v>0</v>
      </c>
      <c r="BL51" s="18">
        <f t="shared" ref="BL51:BL63" ca="1" si="8">+R51</f>
        <v>0</v>
      </c>
      <c r="BM51" s="7" t="str">
        <f t="array" aca="1" ref="BM51" ca="1">IFERROR(OFFSET('MAR-21'!$A$1,MATCH(Sheet1!A47,'MAR-21'!$A:$A,0)-2,0,1,1),"")</f>
        <v/>
      </c>
      <c r="BN51" s="21"/>
      <c r="BO51" s="21"/>
    </row>
    <row r="52" spans="1:67" ht="15" customHeight="1" x14ac:dyDescent="0.25">
      <c r="A52" s="14">
        <v>2</v>
      </c>
      <c r="B52" s="15">
        <v>44287</v>
      </c>
      <c r="C52" s="16">
        <f ca="1">IFERROR(SUM(SUMIF(OFFSET('APR-21'!$A$1,MATCH(Sheet1!A47,'APR-21'!$A:$A,0),0,22,1),{"BA*C","BASIC??"},OFFSET('APR-21'!$A$1,MATCH(Sheet1!A47,'APR-21'!$A:$A,0),1,22,1))),0)</f>
        <v>0</v>
      </c>
      <c r="D52" s="16">
        <f ca="1">IFERROR(SUM(SUMIF(OFFSET('APR-21'!$A$1,MATCH(Sheet1!A47,'APR-21'!$A:$A,0),0,22,1),{"DA*C","D. *"},OFFSET('APR-21'!$A$1,MATCH(Sheet1!A47,'APR-21'!$A:$A,0),1,22,1))),0)</f>
        <v>0</v>
      </c>
      <c r="E52" s="16">
        <f ca="1">IFERROR(SUM(SUMIF(OFFSET('APR-21'!$A$1,MATCH(Sheet1!A47,'APR-21'!$A:$A,0),0,22,1),{"H. R. A."},OFFSET('APR-21'!$A$1,MATCH(Sheet1!A47,'APR-21'!$A:$A,0),1,22,1))),0)</f>
        <v>0</v>
      </c>
      <c r="F52" s="16">
        <f ca="1">IFERROR(SUM(SUMIF(OFFSET('APR-21'!$A$1,MATCH(Sheet1!A47,'APR-21'!$A:$A,0),0,22,1),{"SP*AY*","S D A*","O.A.*","CLA (5th Pay)*","REF. Allow*","Trans.Allw.*","LF*","P. O.*","ARM*","Conv.A*","Otr.Allow*","Trans_Arrear*","BMIA*","Incentives*","Fit Allow*","KMA","NON-*","U.*","ME*A","PG*","Per.Tra"},OFFSET('APR-21'!$A$1,MATCH(Sheet1!A47,'APR-21'!$A:$A,0),1,22,1))),0)</f>
        <v>0</v>
      </c>
      <c r="G52" s="16">
        <f ca="1">IFERROR(SUM(SUMIF(OFFSET('APR-21'!$A$1,MATCH(Sheet1!A47,'APR-21'!$A:$A,0),0,22,1),{"WA"},OFFSET('APR-21'!$A$1,MATCH(Sheet1!A47,'APR-21'!$A:$A,0),1,22,1))),0)</f>
        <v>0</v>
      </c>
      <c r="H52" s="16">
        <f ca="1">IFERROR(SUM(SUMIF(OFFSET('APR-21'!$A$1,MATCH(Sheet1!A47,'APR-21'!$A:$A,0),0,22,1),{"DCPS","GROSS_ADJUST"},OFFSET('APR-21'!$A$1,MATCH(Sheet1!A47,'APR-21'!$A:$A,0),1,22,1))),0)</f>
        <v>0</v>
      </c>
      <c r="I52" s="16">
        <f t="array" aca="1" ref="I52" ca="1">+IFERROR(SUM(SUMIF(OFFSET('APR-21'!$A$1,MATCH(Sheet1!A47,'APR-21'!$A:$A,0),0,22,1),{"Arr*","7th Pay* Arr*","Basic Arr."},OFFSET('APR-21'!$A$1,MATCH(Sheet1!A47,'APR-21'!$A:$A,0),1,22,1))),0)</f>
        <v>0</v>
      </c>
      <c r="J52" s="16">
        <f t="shared" ref="J52:J59" ca="1" si="9">SUM(C52:I52)</f>
        <v>0</v>
      </c>
      <c r="K52" s="16">
        <f ca="1">IFERROR(SUM(SUMIF(OFFSET('APR-21'!$A$1,MATCH(Sheet1!A47,'APR-21'!$A:$A,0),2,22,1),{"*Pro*ax*"},OFFSET('APR-21'!$A$1,MATCH(Sheet1!A47,'APR-21'!$A:$A,0),3,22,1))),0)</f>
        <v>0</v>
      </c>
      <c r="L52" s="16">
        <f ca="1">IFERROR(SUM(SUMIF(OFFSET('APR-21'!$A$1,MATCH(Sheet1!A47,'APR-21'!$A:$A,0),2,22,1),{"GPF_G*","DCPS"},OFFSET('APR-21'!$A$1,MATCH(Sheet1!A47,'APR-21'!$A:$A,0),3,22,1))),0)</f>
        <v>0</v>
      </c>
      <c r="M52" s="16">
        <f ca="1">IFERROR(SUM(SUMIF(OFFSET('APR-21'!$A$1,MATCH(Sheet1!A47,'APR-21'!$A:$A,0),2,22,1),{"*GIS","GIS*R"},OFFSET('APR-21'!$A$1,MATCH(Sheet1!A47,'APR-21'!$A:$A,0),3,22,1))),0)</f>
        <v>0</v>
      </c>
      <c r="N52" s="16">
        <f ca="1">IFERROR(SUM(SUMIF(OFFSET('APR-21'!$A$1,MATCH(Sheet1!A47,'APR-21'!$A:$A,0),5,22,1),{"LI*1"},OFFSET('APR-21'!$A$1,MATCH(Sheet1!A47,'APR-21'!$A:$A,0),6,22,1))),0)</f>
        <v>0</v>
      </c>
      <c r="O52" s="16">
        <f t="array" aca="1" ref="O52" ca="1">IFERROR(SUM(SUMIF(OFFSET('APR-21'!$A$1,MATCH(Sheet1!A47,'APR-21'!$A:$A,0),2,22,1),{"HB*USE","HB*INT"},OFFSET('APR-21'!$A$1,MATCH(Sheet1!A47,'APR-21'!$A:$A,0),3,22,1))),0)</f>
        <v>0</v>
      </c>
      <c r="P52" s="16">
        <f t="array" aca="1" ref="P52" ca="1">IFERROR(SUM(SUMIF(OFFSET('APR-21'!$A$1,MATCH(Sheet1!A47,'APR-21'!$A:$A,0),5,22,1),{"OTHE*1","CO.*1","OTHE*2","WEL*ND","BAN*1","CLU*ND","RD*1","LI*2","MIS*US","*TAINAN*","MCA*INT*","MAIN*NANCE*","*C M Relief Fund*","Co. Op. Hsg Soc.*","GPF_ADV*","Co. Op. Cr. Soc. 2*","DCPS DA","DCPS Pay","MCA Int"},OFFSET('APR-21'!$A$1,MATCH(Sheet1!A47,'APR-21'!$A:$A,0),6,22,1)))+SUM(SUMIF(OFFSET('APR-21'!$A$1,MATCH(Sheet1!A47,'APR-21'!$A:$A,0),2,22,1),{"MCA","COM*DV*","HB*ND","CO*SOC","HRR","SRV*H","ACC*CY","F.A","STAMP_REVENUE","*C M Relief Fund*","GPF_ADV*","Co. Op. Cr. Soc. 2*","DCPS DA","DCPS Pay","MCA Int"},OFFSET('APR-21'!$A$1,MATCH(Sheet1!A47,'APR-21'!$A:$A,0),3,22,1))),0)</f>
        <v>0</v>
      </c>
      <c r="Q52" s="17">
        <f t="shared" ref="Q52:Q56" ca="1" si="10">+J52-H52-K52-L52-M52-N52-O52-P52-R52</f>
        <v>0</v>
      </c>
      <c r="R52" s="17">
        <f t="array" aca="1" ref="R52" ca="1">IFERROR(SUM(SUMIF(OFFSET('APR-21'!$A$1,MATCH(Sheet1!A47,'APR-21'!$A:$A,0),2,22,1),{"*I. *ax*"},OFFSET('APR-21'!$A$1,MATCH(Sheet1!A47,'APR-21'!$A:$A,0),3,22,1))),0)</f>
        <v>0</v>
      </c>
      <c r="S52" s="46" t="str">
        <f t="array" aca="1" ref="S52" ca="1">+IFERROR(IF(OFFSET('APR-21'!$B$1,MATCH(Sheet1!A47,'APR-21'!B:B,0)-2,0,1,1)=Sheet1!J52,IF(MID(IFERROR(OFFSET('APR-21'!$B$1,MATCH(Sheet1!A47,'APR-21'!$B:$B,0)-1,-1,1,1),"GROSS ERROR"),11,FIND(" ",OFFSET('APR-21'!$B$1,MATCH(Sheet1!A47,'APR-21'!$B:$B,0)-1,-1,1,1),12)-11)-Q52=0,"","NET MISMATCH"),"GROSS MISMATCH"),"")</f>
        <v/>
      </c>
      <c r="T52" s="47"/>
      <c r="U52" s="49"/>
      <c r="V52" s="18"/>
      <c r="W52" s="7"/>
      <c r="X52" s="18"/>
      <c r="Y52" s="7"/>
      <c r="Z52" s="19"/>
      <c r="AC52" s="7"/>
      <c r="AD52" s="7"/>
      <c r="AE52" s="7"/>
      <c r="AF52" s="7"/>
      <c r="AG52" s="7"/>
      <c r="AH52" s="7"/>
      <c r="AI52" s="49"/>
      <c r="AJ52" s="49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64" t="str">
        <f>+G48</f>
        <v>PAN</v>
      </c>
      <c r="BI52" s="47" t="str">
        <f>+A47</f>
        <v/>
      </c>
      <c r="BJ52" s="18" t="str">
        <f t="array" aca="1" ref="BJ52" ca="1">IFERROR(OFFSET('APR-21'!$B$1,MATCH(Sheet1!A47,'APR-21'!$B:$B,0)+1,0,1,1),"")</f>
        <v/>
      </c>
      <c r="BK52" s="64">
        <f t="shared" ca="1" si="7"/>
        <v>0</v>
      </c>
      <c r="BL52" s="18">
        <f t="shared" ca="1" si="8"/>
        <v>0</v>
      </c>
      <c r="BM52" s="7" t="str">
        <f t="array" aca="1" ref="BM52" ca="1">IFERROR(OFFSET('APR-21'!$A$1,MATCH(Sheet1!A47,'APR-21'!$A:$A,0)-2,0,1,1),"")</f>
        <v/>
      </c>
      <c r="BN52" s="7"/>
      <c r="BO52" s="7"/>
    </row>
    <row r="53" spans="1:67" ht="15" customHeight="1" x14ac:dyDescent="0.25">
      <c r="A53" s="14">
        <v>3</v>
      </c>
      <c r="B53" s="15">
        <v>44317</v>
      </c>
      <c r="C53" s="16">
        <f ca="1">IFERROR(SUM(SUMIF(OFFSET('MAY-21'!$A$1,MATCH(Sheet1!A47,'MAY-21'!$A:$A,0),0,22,1),{"BA*C","BASIC??"},OFFSET('MAY-21'!$A$1,MATCH(Sheet1!A47,'MAY-21'!$A:$A,0),1,22,1))),0)</f>
        <v>0</v>
      </c>
      <c r="D53" s="16">
        <f ca="1">IFERROR(SUM(SUMIF(OFFSET('MAY-21'!$A$1,MATCH(Sheet1!A47,'MAY-21'!$A:$A,0),0,22,1),{"DA*C","D. *"},OFFSET('MAY-21'!$A$1,MATCH(Sheet1!A47,'MAY-21'!$A:$A,0),1,22,1))),0)</f>
        <v>0</v>
      </c>
      <c r="E53" s="16">
        <f ca="1">IFERROR(SUM(SUMIF(OFFSET('MAY-21'!$A$1,MATCH(Sheet1!A47,'MAY-21'!$A:$A,0),0,22,1),{"H. R. A."},OFFSET('MAY-21'!$A$1,MATCH(Sheet1!A47,'MAY-21'!$A:$A,0),1,22,1))),0)</f>
        <v>0</v>
      </c>
      <c r="F53" s="16">
        <f t="array" aca="1" ref="F53" ca="1">IFERROR(SUM(SUMIF(OFFSET('MAY-21'!$A$1,MATCH(Sheet1!A47,'MAY-21'!$A:$A,0),0,22,1),{"SP*AY*","S D A*","O.A.*","CLA (5th Pay)*","REF. Allow*","Trans.Allw.*","LF*","P. O.*","ARM*","Conv.A*","Otr.Allow*","Trans_Arrear*","BMIA*","Incentives*","Fit Allow*","KMA","NON-*","U.*","ME*A","PG*","Per.Tra"},OFFSET('MAY-21'!$A$1,MATCH(Sheet1!A47,'MAY-21'!$A:$A,0),1,22,1))),0)</f>
        <v>0</v>
      </c>
      <c r="G53" s="16">
        <f ca="1">IFERROR(SUM(SUMIF(OFFSET('MAY-21'!$A$1,MATCH(Sheet1!A47,'MAY-21'!$A:$A,0),0,22,1),{"WA"},OFFSET('MAY-21'!$A$1,MATCH(Sheet1!A47,'MAY-21'!$A:$A,0),1,22,1))),0)</f>
        <v>0</v>
      </c>
      <c r="H53" s="16">
        <f ca="1">IFERROR(SUM(SUMIF(OFFSET('MAY-21'!$A$1,MATCH(Sheet1!A47,'MAY-21'!$A:$A,0),0,22,1),{"DCPS","GROSS_ADJUST"},OFFSET('MAY-21'!$A$1,MATCH(Sheet1!A47,'MAY-21'!$A:$A,0),1,22,1))),0)</f>
        <v>0</v>
      </c>
      <c r="I53" s="16">
        <f t="array" aca="1" ref="I53" ca="1">+IFERROR(SUM(SUMIF(OFFSET('MAY-21'!$A$1,MATCH(Sheet1!A47,'MAY-21'!$A:$A,0),0,22,1),{"Arr*","7th Pay* Arr*","Basic Arr.","DA Arr"},OFFSET('MAY-21'!$A$1,MATCH(Sheet1!A47,'MAY-21'!$A:$A,0),1,22,1))),0)</f>
        <v>0</v>
      </c>
      <c r="J53" s="16">
        <f t="shared" ca="1" si="9"/>
        <v>0</v>
      </c>
      <c r="K53" s="16">
        <f ca="1">IFERROR(SUM(SUMIF(OFFSET('MAY-21'!$A$1,MATCH(Sheet1!A47,'MAY-21'!$A:$A,0),2,22,1),{"*Pro*ax*"},OFFSET('MAY-21'!$A$1,MATCH(Sheet1!A47,'MAY-21'!$A:$A,0),3,22,1))),0)</f>
        <v>0</v>
      </c>
      <c r="L53" s="16">
        <f ca="1">IFERROR(SUM(SUMIF(OFFSET('MAY-21'!$A$1,MATCH(Sheet1!A47,'MAY-21'!$A:$A,0),2,22,1),{"GPF_G*","DCPS"},OFFSET('MAY-21'!$A$1,MATCH(Sheet1!A47,'MAY-21'!$A:$A,0),3,22,1))),0)</f>
        <v>0</v>
      </c>
      <c r="M53" s="16">
        <f ca="1">IFERROR(SUM(SUMIF(OFFSET('MAY-21'!$A$1,MATCH(Sheet1!A47,'MAY-21'!$A:$A,0),2,22,1),{"*GIS","GIS*R"},OFFSET('MAY-21'!$A$1,MATCH(Sheet1!A47,'MAY-21'!$A:$A,0),3,22,1))),0)</f>
        <v>0</v>
      </c>
      <c r="N53" s="16">
        <f ca="1">IFERROR(SUM(SUMIF(OFFSET('MAY-21'!$A$1,MATCH(Sheet1!A47,'MAY-21'!$A:$A,0),5,22,1),{"LI*1"},OFFSET('MAY-21'!$A$1,MATCH(Sheet1!A47,'MAY-21'!$A:$A,0),6,22,1))),0)</f>
        <v>0</v>
      </c>
      <c r="O53" s="16">
        <f t="array" aca="1" ref="O53" ca="1">IFERROR(SUM(SUMIF(OFFSET('MAY-21'!$A$1,MATCH(Sheet1!A47,'MAY-21'!$A:$A,0),2,22,1),{"HB*USE","HB*INT"},OFFSET('MAY-21'!$A$1,MATCH(Sheet1!A47,'MAY-21'!$A:$A,0),3,22,1))),0)</f>
        <v>0</v>
      </c>
      <c r="P53" s="16">
        <f t="array" aca="1" ref="P53" ca="1">IFERROR(SUM(SUMIF(OFFSET('MAY-21'!$A$1,MATCH(Sheet1!A47,'MAY-21'!$A:$A,0),5,22,1),{"OTHE*1","CO.*1","OTHE*2","WEL*ND","BAN*1","CLU*ND","RD*1","LI*2","MIS*US","*TAINAN*","MCA*INT*","MAIN*NANCE*","*C M Relief Fund*","Co. Op. Hsg Soc.*","GPF_ADV*","Co. Op. Cr. Soc. 2*","DCPS DA","DCPS Pay","MCA Int"},OFFSET('MAY-21'!$A$1,MATCH(Sheet1!A47,'MAY-21'!$A:$A,0),6,22,1)))+SUM(SUMIF(OFFSET('MAY-21'!$A$1,MATCH(Sheet1!A47,'MAY-21'!$A:$A,0),2,22,1),{"MCA","COM*DV*","HB*ND","CO*SOC","HRR","SRV*H","ACC*CY","F.A","STAMP_REVENUE","*C M Relief Fund*","GPF_ADV*","Co. Op. Cr. Soc. 2*","DCPS DA","DCPS Pay","MCA Int"},OFFSET('MAY-21'!$A$1,MATCH(Sheet1!A47,'MAY-21'!$A:$A,0),3,22,1))),0)</f>
        <v>0</v>
      </c>
      <c r="Q53" s="17">
        <f t="shared" ca="1" si="10"/>
        <v>0</v>
      </c>
      <c r="R53" s="17">
        <f ca="1">IFERROR(SUM(SUMIF(OFFSET('MAY-21'!$A$1,MATCH(Sheet1!A47,'MAY-21'!$A:$A,0),2,22,1),{"*I. *ax*"},OFFSET('MAY-21'!$A$1,MATCH(Sheet1!A47,'MAY-21'!$A:$A,0),3,22,1))),0)</f>
        <v>0</v>
      </c>
      <c r="S53" s="46" t="str">
        <f t="array" aca="1" ref="S53" ca="1">+IFERROR(IF(OFFSET('MAY-21'!$B$1,MATCH(Sheet1!A47,'MAY-21'!B:B,0)-2,0,1,1)=Sheet1!J53,IF(MID(IFERROR(OFFSET('MAY-21'!$B$1,MATCH(Sheet1!A47,'MAY-21'!$B:$B,0)-1,-1,1,1),"GROSS ERROR"),11,FIND(" ",OFFSET('MAY-21'!$B$1,MATCH(Sheet1!A47,'MAY-21'!$B:$B,0)-1,-1,1,1),12)-11)-Q53=0,"","NET MISMATCH"),"GROSS MISMATCH"),"")</f>
        <v/>
      </c>
      <c r="T53" s="47"/>
      <c r="U53" s="49"/>
      <c r="V53" s="18"/>
      <c r="W53" s="7"/>
      <c r="X53" s="18"/>
      <c r="Y53" s="7"/>
      <c r="Z53" s="19"/>
      <c r="AC53" s="7"/>
      <c r="AD53" s="7"/>
      <c r="AE53" s="7"/>
      <c r="AF53" s="7"/>
      <c r="AG53" s="7"/>
      <c r="AH53" s="7"/>
      <c r="AI53" s="49"/>
      <c r="AJ53" s="49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64" t="str">
        <f>+G48</f>
        <v>PAN</v>
      </c>
      <c r="BI53" s="47" t="str">
        <f>+A47</f>
        <v/>
      </c>
      <c r="BJ53" s="18" t="str">
        <f t="array" aca="1" ref="BJ53" ca="1">IFERROR(OFFSET('MAY-21'!$B$1,MATCH(Sheet1!A47,'MAY-21'!$B:$B,0)+1,0,1,1),"")</f>
        <v/>
      </c>
      <c r="BK53" s="64">
        <f t="shared" ca="1" si="7"/>
        <v>0</v>
      </c>
      <c r="BL53" s="18">
        <f t="shared" ca="1" si="8"/>
        <v>0</v>
      </c>
      <c r="BM53" s="7" t="str">
        <f t="array" aca="1" ref="BM53" ca="1">+IFERROR(OFFSET('MAY-21'!$A$1,MATCH(Sheet1!A47,'MAY-21'!$A:$A,0)-2,0,1,1),"")</f>
        <v/>
      </c>
      <c r="BN53" s="7"/>
      <c r="BO53" s="7"/>
    </row>
    <row r="54" spans="1:67" ht="15" customHeight="1" x14ac:dyDescent="0.25">
      <c r="A54" s="14">
        <v>4</v>
      </c>
      <c r="B54" s="15">
        <v>44348</v>
      </c>
      <c r="C54" s="16">
        <f ca="1">IFERROR(SUM(SUMIF(OFFSET('JUN-21'!$A$1,MATCH(Sheet1!A47,'JUN-21'!$A:$A,0),0,22,1),{"BA*C","BASIC??"},OFFSET('JUN-21'!$A$1,MATCH(Sheet1!A47,'JUN-21'!$A:$A,0),1,22,1))),0)</f>
        <v>0</v>
      </c>
      <c r="D54" s="16">
        <f ca="1">IFERROR(SUM(SUMIF(OFFSET('JUN-21'!$A$1,MATCH(Sheet1!A47,'JUN-21'!$A:$A,0),0,22,1),{"DA*C","D. *"},OFFSET('JUN-21'!$A$1,MATCH(Sheet1!A47,'JUN-21'!$A:$A,0),1,22,1))),0)</f>
        <v>0</v>
      </c>
      <c r="E54" s="16">
        <f ca="1">IFERROR(SUM(SUMIF(OFFSET('JUN-21'!$A$1,MATCH(Sheet1!A47,'JUN-21'!$A:$A,0),0,22,1),{"H. R. A."},OFFSET('JUN-21'!$A$1,MATCH(Sheet1!A47,'JUN-21'!$A:$A,0),1,22,1))),0)</f>
        <v>0</v>
      </c>
      <c r="F54" s="16">
        <f t="array" aca="1" ref="F54" ca="1">IFERROR(SUM(SUMIF(OFFSET('JUN-21'!$A$1,MATCH(Sheet1!A47,'JUN-21'!$A:$A,0),0,22,1),{"SP*AY*","S D A*","O.A.*","CLA (5th Pay)*","REF. Allow*","Trans.Allw.*","LF*","P. O.*","ARM*","Conv.A*","Otr.Allow*","Trans_Arrear*","BMIA*","Incentives*","Fit Allow*","KMA","NON-*","U.*","ME*A","PG*","Per.Tra"},OFFSET('JUN-21'!$A$1,MATCH(Sheet1!A47,'JUN-21'!$A:$A,0),1,22,1))),0)</f>
        <v>0</v>
      </c>
      <c r="G54" s="16">
        <f ca="1">IFERROR(SUM(SUMIF(OFFSET('JUN-21'!$A$1,MATCH(Sheet1!A47,'JUN-21'!$A:$A,0),0,22,1),{"WA"},OFFSET('JUN-21'!$A$1,MATCH(Sheet1!A47,'JUN-21'!$A:$A,0),1,22,1))),0)</f>
        <v>0</v>
      </c>
      <c r="H54" s="16">
        <f ca="1">IFERROR(SUM(SUMIF(OFFSET('JUN-21'!$A$1,MATCH(Sheet1!A47,'JUN-21'!$A:$A,0),0,22,1),{"DCPS","GROSS_ADJUST"},OFFSET('JUN-21'!$A$1,MATCH(Sheet1!A47,'JUN-21'!$A:$A,0),1,22,1))),0)</f>
        <v>0</v>
      </c>
      <c r="I54" s="16">
        <f t="array" aca="1" ref="I54" ca="1">+IFERROR(SUM(SUMIF(OFFSET('JUN-21'!$A$1,MATCH(Sheet1!A47,'JUN-21'!$A:$A,0),0,22,1),{"Basic*Arr*","7th Pay* Arr*"},OFFSET('JUN-21'!$A$1,MATCH(Sheet1!A47,'JUN-21'!$A:$A,0),1,22,1))),0)</f>
        <v>0</v>
      </c>
      <c r="J54" s="16">
        <f t="shared" ca="1" si="9"/>
        <v>0</v>
      </c>
      <c r="K54" s="16">
        <f ca="1">IFERROR(SUM(SUMIF(OFFSET('JUN-21'!$A$1,MATCH(Sheet1!A47,'JUN-21'!$A:$A,0),2,22,1),{"*Pro*ax*"},OFFSET('JUN-21'!$A$1,MATCH(Sheet1!A47,'JUN-21'!$A:$A,0),3,22,1))),0)</f>
        <v>0</v>
      </c>
      <c r="L54" s="16">
        <f ca="1">IFERROR(SUM(SUMIF(OFFSET('JUN-21'!$A$1,MATCH(Sheet1!A47,'JUN-21'!$A:$A,0),2,22,1),{"GPF_G*","DCPS"},OFFSET('JUN-21'!$A$1,MATCH(Sheet1!A47,'JUN-21'!$A:$A,0),3,22,1))),0)</f>
        <v>0</v>
      </c>
      <c r="M54" s="16">
        <f ca="1">IFERROR(SUM(SUMIF(OFFSET('JUN-21'!$A$1,MATCH(Sheet1!A47,'JUN-21'!$A:$A,0),2,22,1),{"*GIS","GIS*R"},OFFSET('JUN-21'!$A$1,MATCH(Sheet1!A47,'JUN-21'!$A:$A,0),3,22,1))),0)</f>
        <v>0</v>
      </c>
      <c r="N54" s="16">
        <f ca="1">IFERROR(SUM(SUMIF(OFFSET('JUN-21'!$A$1,MATCH(Sheet1!A47,'JUN-21'!$A:$A,0),5,22,1),{"LI*1"},OFFSET('JUN-21'!$A$1,MATCH(Sheet1!A47,'JUN-21'!$A:$A,0),6,22,1))),0)</f>
        <v>0</v>
      </c>
      <c r="O54" s="16">
        <f t="array" aca="1" ref="O54" ca="1">IFERROR(SUM(SUMIF(OFFSET('JUN-21'!$A$1,MATCH(Sheet1!A47,'JUN-21'!$A:$A,0),2,22,1),{"HB*USE","HB*INT"},OFFSET('JUN-21'!$A$1,MATCH(Sheet1!A47,'JUN-21'!$A:$A,0),3,22,1))),0)</f>
        <v>0</v>
      </c>
      <c r="P54" s="16">
        <f t="array" aca="1" ref="P54" ca="1">IFERROR(SUM(SUMIF(OFFSET('JUN-21'!$A$1,MATCH(Sheet1!A47,'JUN-21'!$A:$A,0),5,22,1),{"OTHE*1","CO.*1","OTHE*2","WEL*ND","BAN*1","CLU*ND","RD*1","LI*2","MIS*US","*TAINAN*","MCA*INT*","MAIN*NANCE*","*C M Relief Fund*","Co. Op. Hsg Soc.*","GPF_ADV*","Co. Op. Cr. Soc. 2*","DCPS DA","DCPS Pay","MCA Int"},OFFSET('JUN-21'!$A$1,MATCH(Sheet1!A47,'JUN-21'!$A:$A,0),6,22,1)))+SUM(SUMIF(OFFSET('JUN-21'!$A$1,MATCH(Sheet1!A47,'JUN-21'!$A:$A,0),2,22,1),{"MCA","COM*DV*","HB*ND","CO*SOC","HRR","SRV*H","ACC*CY","F.A","STAMP_REVENUE","*C M Relief Fund*","GPF_ADV*","Co. Op. Cr. Soc. 2*","DCPS DA","DCPS Pay","MCA Int"},OFFSET('JUN-21'!$A$1,MATCH(Sheet1!A47,'JUN-21'!$A:$A,0),3,22,1))),0)</f>
        <v>0</v>
      </c>
      <c r="Q54" s="17">
        <f t="shared" ca="1" si="10"/>
        <v>0</v>
      </c>
      <c r="R54" s="17">
        <f t="array" aca="1" ref="R54" ca="1">IFERROR(SUM(SUMIF(OFFSET('JUN-21'!$A$1,MATCH(Sheet1!A47,'JUN-21'!$A:$A,0),2,22,1),{"*I. *ax*"},OFFSET('JUN-21'!$A$1,MATCH(Sheet1!A47,'JUN-21'!$A:$A,0),3,22,1))),0)</f>
        <v>0</v>
      </c>
      <c r="S54" s="46" t="str">
        <f t="array" aca="1" ref="S54" ca="1">+IFERROR(IF(OFFSET('JUN-21'!$B$1,MATCH(Sheet1!A47,'JUN-21'!B:B,0)-2,0,1,1)=Sheet1!J54,IF(MID(IFERROR(OFFSET('JUN-21'!$B$1,MATCH(Sheet1!A47,'JUN-21'!$B:$B,0)-1,-1,1,1),"GROSS ERROR"),11,FIND(" ",OFFSET('JUN-21'!$B$1,MATCH(Sheet1!A47,'JUN-21'!$B:$B,0)-1,-1,1,1),12)-11)-Q54=0,"","NET MISMATCH"),"GROSS MISMATCH"),"")</f>
        <v/>
      </c>
      <c r="T54" s="47"/>
      <c r="U54" s="49"/>
      <c r="V54" s="18"/>
      <c r="W54" s="7"/>
      <c r="X54" s="18"/>
      <c r="Y54" s="7"/>
      <c r="Z54" s="19"/>
      <c r="AC54" s="7"/>
      <c r="AD54" s="7"/>
      <c r="AE54" s="7"/>
      <c r="AF54" s="7"/>
      <c r="AG54" s="7"/>
      <c r="AH54" s="7"/>
      <c r="AI54" s="49"/>
      <c r="AJ54" s="49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64" t="str">
        <f>+G48</f>
        <v>PAN</v>
      </c>
      <c r="BI54" s="47" t="str">
        <f>+A47</f>
        <v/>
      </c>
      <c r="BJ54" s="18" t="str">
        <f t="array" aca="1" ref="BJ54" ca="1">IFERROR(OFFSET('JUN-21'!$B$1,MATCH(Sheet1!A47,'JUN-21'!$B:$B,0)+1,0,1,1),"")</f>
        <v/>
      </c>
      <c r="BK54" s="64">
        <f t="shared" ca="1" si="7"/>
        <v>0</v>
      </c>
      <c r="BL54" s="18">
        <f t="shared" ca="1" si="8"/>
        <v>0</v>
      </c>
      <c r="BM54" s="7" t="str">
        <f t="array" aca="1" ref="BM54" ca="1">IFERROR(OFFSET('JUN-21'!$A$1,MATCH(Sheet1!A47,'JUN-21'!$A:$A,0)-2,0,1,1),"")</f>
        <v/>
      </c>
      <c r="BN54" s="7"/>
      <c r="BO54" s="7"/>
    </row>
    <row r="55" spans="1:67" ht="15" customHeight="1" x14ac:dyDescent="0.25">
      <c r="A55" s="14">
        <v>5</v>
      </c>
      <c r="B55" s="15">
        <v>44378</v>
      </c>
      <c r="C55" s="16">
        <f ca="1">IFERROR(SUM(SUMIF(OFFSET('JUL-21'!$A$1,MATCH(Sheet1!A47,'JUL-21'!$A:$A,0),0,22,1),{"BA*C","BASIC??"},OFFSET('JUL-21'!$A$1,MATCH(Sheet1!A47,'JUL-21'!$A:$A,0),1,22,1))),0)</f>
        <v>0</v>
      </c>
      <c r="D55" s="16">
        <f ca="1">IFERROR(SUM(SUMIF(OFFSET('JUL-21'!$A$1,MATCH(Sheet1!A47,'JUL-21'!$A:$A,0),0,22,1),{"DA*C","D. *"},OFFSET('JUL-21'!$A$1,MATCH(Sheet1!A47,'JUL-21'!$A:$A,0),1,22,1))),0)</f>
        <v>0</v>
      </c>
      <c r="E55" s="16">
        <f ca="1">IFERROR(SUM(SUMIF(OFFSET('JUL-21'!$A$1,MATCH(Sheet1!A47,'JUL-21'!$A:$A,0),0,22,1),{"H. R. A."},OFFSET('JUL-21'!$A$1,MATCH(Sheet1!A47,'JUL-21'!$A:$A,0),1,22,1))),0)</f>
        <v>0</v>
      </c>
      <c r="F55" s="16">
        <f t="array" aca="1" ref="F55" ca="1">IFERROR(SUM(SUMIF(OFFSET('JUL-21'!$A$1,MATCH(Sheet1!A47,'JUL-21'!$A:$A,0),0,22,1),{"SP*AY*","S D A*","O.A.*","CLA (5th Pay)*","REF. Allow*","Trans.Allw.*","LF*","P. O.*","ARM*","Conv.A*","Otr.Allow*","Trans_Arrear*","BMIA*","Incentives*","Fit Allow*","KMA","NON-*","U.*","ME*A","PG*","Per.Tra"},OFFSET('JUL-21'!$A$1,MATCH(Sheet1!A47,'JUL-21'!$A:$A,0),1,22,1))),0)</f>
        <v>0</v>
      </c>
      <c r="G55" s="16">
        <f ca="1">IFERROR(SUM(SUMIF(OFFSET('JUL-21'!$A$1,MATCH(Sheet1!A47,'JUL-21'!$A:$A,0),0,22,1),{"WA"},OFFSET('JUL-21'!$A$1,MATCH(Sheet1!A47,'JUL-21'!$A:$A,0),1,22,1))),0)</f>
        <v>0</v>
      </c>
      <c r="H55" s="16">
        <f ca="1">IFERROR(SUM(SUMIF(OFFSET('JUL-21'!$A$1,MATCH(Sheet1!A47,'JUL-21'!$A:$A,0),0,22,1),{"DCPS","GROSS_ADJUST"},OFFSET('JUL-21'!$A$1,MATCH(Sheet1!A47,'JUL-21'!$A:$A,0),1,22,1))),0)</f>
        <v>0</v>
      </c>
      <c r="I55" s="16">
        <f t="array" aca="1" ref="I55" ca="1">++IFERROR(SUM(SUMIF(OFFSET('JUL-21'!$A$1,MATCH(Sheet1!A47,'JUL-21'!$A:$A,0),0,22,1),{"Basic*Arr*","7th Pay* Arr*"},OFFSET('JUL-21'!$A$1,MATCH(Sheet1!A47,'JUL-21'!$A:$A,0),1,22,1))),0)</f>
        <v>0</v>
      </c>
      <c r="J55" s="16">
        <f t="shared" ca="1" si="9"/>
        <v>0</v>
      </c>
      <c r="K55" s="16">
        <f ca="1">IFERROR(SUM(SUMIF(OFFSET('JUL-21'!$A$1,MATCH(Sheet1!A47,'JUL-21'!$A:$A,0),2,22,1),{"*Pro*ax*"},OFFSET('JUL-21'!$A$1,MATCH(Sheet1!A47,'JUL-21'!$A:$A,0),3,22,1))),0)</f>
        <v>0</v>
      </c>
      <c r="L55" s="16">
        <f ca="1">IFERROR(SUM(SUMIF(OFFSET('JUL-21'!$A$1,MATCH(Sheet1!A47,'JUL-21'!$A:$A,0),2,22,1),{"GPF_G*","DCPS"},OFFSET('JUL-21'!$A$1,MATCH(Sheet1!A47,'JUL-21'!$A:$A,0),3,22,1))),0)</f>
        <v>0</v>
      </c>
      <c r="M55" s="16">
        <f ca="1">IFERROR(SUM(SUMIF(OFFSET('JUL-21'!$A$1,MATCH(Sheet1!A47,'JUL-21'!$A:$A,0),2,22,1),{"*GIS","GIS*R"},OFFSET('JUL-21'!$A$1,MATCH(Sheet1!A47,'JUL-21'!$A:$A,0),3,22,1))),0)</f>
        <v>0</v>
      </c>
      <c r="N55" s="16">
        <f ca="1">IFERROR(SUM(SUMIF(OFFSET('JUL-21'!$A$1,MATCH(Sheet1!A47,'JUL-21'!$A:$A,0),5,22,1),{"LI*1"},OFFSET('JUL-21'!$A$1,MATCH(Sheet1!A47,'JUL-21'!$A:$A,0),6,22,1))),0)</f>
        <v>0</v>
      </c>
      <c r="O55" s="16">
        <f t="array" aca="1" ref="O55" ca="1">IFERROR(SUM(SUMIF(OFFSET('JUL-21'!$A$1,MATCH(Sheet1!A47,'JUL-21'!$A:$A,0),2,22,1),{"HB*USE","HB*INT"},OFFSET('JUL-21'!$A$1,MATCH(Sheet1!A47,'JUL-21'!$A:$A,0),3,22,1))),0)</f>
        <v>0</v>
      </c>
      <c r="P55" s="16">
        <f t="array" aca="1" ref="P55" ca="1">IFERROR(SUM(SUMIF(OFFSET('JUL-21'!$A$1,MATCH(Sheet1!A47,'JUL-21'!$A:$A,0),5,22,1),{"OTHE*1","CO.*1","OTHE*2","WEL*ND","BAN*1","CLU*ND","RD*1","LI*2","MIS*US","*TAINAN*","MCA*INT*","MAIN*NANCE*","*C M Relief Fund*","Co. Op. Hsg Soc.*","GPF_ADV*","Co. Op. Cr. Soc. 2*","DCPS DA","DCPS Pay","MCA Int"},OFFSET('JUL-21'!$A$1,MATCH(Sheet1!A47,'JUL-21'!$A:$A,0),6,22,1)))+SUM(SUMIF(OFFSET('JUL-21'!$A$1,MATCH(Sheet1!A47,'JUL-21'!$A:$A,0),2,22,1),{"MCA","COM*DV*","HB*ND","CO*SOC","HRR","SRV*H","ACC*CY","F.A","STAMP_REVENUE","*C M Relief Fund*","GPF_ADV*","Co. Op. Cr. Soc. 2*","DCPS DA","DCPS Pay","MCA Int"},OFFSET('JUL-21'!$A$1,MATCH(Sheet1!A47,'JUL-21'!$A:$A,0),3,22,1))),0)</f>
        <v>0</v>
      </c>
      <c r="Q55" s="17">
        <f t="shared" ca="1" si="10"/>
        <v>0</v>
      </c>
      <c r="R55" s="17">
        <f ca="1">IFERROR(SUM(SUMIF(OFFSET('JUL-21'!$A$1,MATCH(Sheet1!A47,'JUL-21'!$A:$A,0),2,22,1),{"*I. *ax*"},OFFSET('JUL-21'!$A$1,MATCH(Sheet1!A47,'JUL-21'!$A:$A,0),3,22,1))),0)</f>
        <v>0</v>
      </c>
      <c r="S55" s="46" t="str">
        <f t="array" aca="1" ref="S55" ca="1">+IFERROR(IF(OFFSET('JUL-21'!$B$1,MATCH(Sheet1!A47,'JUL-21'!B:B,0)-2,0,1,1)=Sheet1!J55,IF(MID(IFERROR(OFFSET('JUL-21'!$B$1,MATCH(Sheet1!A47,'JUL-21'!$B:$B,0)-1,-1,1,1),"GROSS ERROR"),11,FIND(" ",OFFSET('JUL-21'!$B$1,MATCH(Sheet1!A47,'JUL-21'!$B:$B,0)-1,-1,1,1),12)-11)-Q55=0,"","NET MISMATCH"),"GROSS MISMATCH"),"")</f>
        <v/>
      </c>
      <c r="T55" s="47"/>
      <c r="U55" s="49"/>
      <c r="V55" s="18"/>
      <c r="W55" s="7"/>
      <c r="X55" s="18"/>
      <c r="Y55" s="7"/>
      <c r="Z55" s="19"/>
      <c r="AC55" s="7"/>
      <c r="AD55" s="7"/>
      <c r="AE55" s="7"/>
      <c r="AF55" s="7"/>
      <c r="AG55" s="7"/>
      <c r="AH55" s="7"/>
      <c r="AI55" s="49"/>
      <c r="AJ55" s="49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64" t="str">
        <f>+G48</f>
        <v>PAN</v>
      </c>
      <c r="BI55" s="47" t="str">
        <f>+A47</f>
        <v/>
      </c>
      <c r="BJ55" s="18" t="str">
        <f t="array" aca="1" ref="BJ55" ca="1">+IFERROR(OFFSET('JUL-21'!$B$1,MATCH(Sheet1!A47,'JUL-21'!$B:$B,0)+1,0,1,1),"")</f>
        <v/>
      </c>
      <c r="BK55" s="64">
        <f t="shared" ca="1" si="7"/>
        <v>0</v>
      </c>
      <c r="BL55" s="18">
        <f t="shared" ca="1" si="8"/>
        <v>0</v>
      </c>
      <c r="BM55" s="7" t="str">
        <f t="array" aca="1" ref="BM55" ca="1">IFERROR(OFFSET('JUL-21'!$A$1,MATCH(Sheet1!A47,'JUL-21'!$A:$A,0)-2,0,1,1),"")</f>
        <v/>
      </c>
      <c r="BN55" s="7"/>
      <c r="BO55" s="7"/>
    </row>
    <row r="56" spans="1:67" ht="15" customHeight="1" x14ac:dyDescent="0.25">
      <c r="A56" s="14">
        <v>6</v>
      </c>
      <c r="B56" s="15">
        <v>44409</v>
      </c>
      <c r="C56" s="16">
        <f ca="1">IFERROR(SUM(SUMIF(OFFSET('AUG-21'!$A$1,MATCH(Sheet1!A47,'AUG-21'!$A:$A,0),0,22,1),{"BA*C","BASIC??"},OFFSET('AUG-21'!$A$1,MATCH(Sheet1!A47,'AUG-21'!$A:$A,0),1,22,1))),0)</f>
        <v>0</v>
      </c>
      <c r="D56" s="16">
        <f ca="1">IFERROR(SUM(SUMIF(OFFSET('AUG-21'!$A$1,MATCH(Sheet1!A47,'AUG-21'!$A:$A,0),0,22,1),{"DA*C","D. *"},OFFSET('AUG-21'!$A$1,MATCH(Sheet1!A47,'AUG-21'!$A:$A,0),1,22,1))),0)</f>
        <v>0</v>
      </c>
      <c r="E56" s="16">
        <f ca="1">IFERROR(SUM(SUMIF(OFFSET('AUG-21'!$A$1,MATCH(Sheet1!A47,'AUG-21'!$A:$A,0),0,22,1),{"H. R. A."},OFFSET('AUG-21'!$A$1,MATCH(Sheet1!A47,'AUG-21'!$A:$A,0),1,22,1))),0)</f>
        <v>0</v>
      </c>
      <c r="F56" s="16">
        <f t="array" aca="1" ref="F56" ca="1">IFERROR(SUM(SUMIF(OFFSET('AUG-21'!$A$1,MATCH(Sheet1!A47,'AUG-21'!$A:$A,0),0,22,1),{"SP*AY*","S D A*","O.A.*","CLA (5th Pay)*","REF. Allow*","Trans.Allw.*","LF*","P. O.*","ARM*","Conv.A*","Otr.Allow*","Trans_Arrear*","BMIA*","Incentives*","Fit Allow*","KMA","NON-*","U.*","ME*A","PG*","Per.Tra"},OFFSET('AUG-21'!$A$1,MATCH(Sheet1!A47,'AUG-21'!$A:$A,0),1,22,1))),0)</f>
        <v>0</v>
      </c>
      <c r="G56" s="16">
        <f ca="1">IFERROR(SUM(SUMIF(OFFSET('AUG-21'!$A$1,MATCH(Sheet1!A47,'AUG-21'!$A:$A,0),0,22,1),{"WA"},OFFSET('AUG-21'!$A$1,MATCH(Sheet1!A47,'AUG-21'!$A:$A,0),1,22,1))),0)</f>
        <v>0</v>
      </c>
      <c r="H56" s="16">
        <f ca="1">IFERROR(SUM(SUMIF(OFFSET('AUG-21'!$A$1,MATCH(Sheet1!A47,'AUG-21'!$A:$A,0),0,22,1),{"DCPS","GROSS_ADJUST"},OFFSET('AUG-21'!$A$1,MATCH(Sheet1!A47,'AUG-21'!$A:$A,0),1,22,1))),0)</f>
        <v>0</v>
      </c>
      <c r="I56" s="16">
        <f t="array" aca="1" ref="I56" ca="1">+IFERROR(SUM(SUMIF(OFFSET('AUG-21'!$A$1,MATCH(Sheet1!A47,'AUG-21'!$A:$A,0),0,22,1),{"7th Pay* Arr*","Basic Arr*","DA Arr"},OFFSET('AUG-21'!$A$1,MATCH(Sheet1!A47,'AUG-21'!$A:$A,0),1,22,1))),0)</f>
        <v>0</v>
      </c>
      <c r="J56" s="16">
        <f t="shared" ca="1" si="9"/>
        <v>0</v>
      </c>
      <c r="K56" s="16">
        <f ca="1">IFERROR(SUM(SUMIF(OFFSET('AUG-21'!$A$1,MATCH(Sheet1!A47,'AUG-21'!$A:$A,0),2,22,1),{"*Pro*ax*"},OFFSET('AUG-21'!$A$1,MATCH(Sheet1!A47,'AUG-21'!$A:$A,0),3,22,1))),0)</f>
        <v>0</v>
      </c>
      <c r="L56" s="16">
        <f ca="1">IFERROR(SUM(SUMIF(OFFSET('AUG-21'!$A$1,MATCH(Sheet1!A47,'AUG-21'!$A:$A,0),2,22,1),{"GPF_G*","DCPS","*7thPay GP*"},OFFSET('AUG-21'!$A$1,MATCH(Sheet1!A47,'AUG-21'!$A:$A,0),3,22,1))),0)</f>
        <v>0</v>
      </c>
      <c r="M56" s="16">
        <f ca="1">IFERROR(SUM(SUMIF(OFFSET('AUG-21'!$A$1,MATCH(Sheet1!A47,'AUG-21'!$A:$A,0),2,22,1),{"*GIS","GIS*R"},OFFSET('AUG-21'!$A$1,MATCH(Sheet1!A47,'AUG-21'!$A:$A,0),3,22,1))),0)</f>
        <v>0</v>
      </c>
      <c r="N56" s="16">
        <f ca="1">IFERROR(SUM(SUMIF(OFFSET('AUG-21'!$A$1,MATCH(Sheet1!A47,'AUG-21'!$A:$A,0),5,22,1),{"LI*1"},OFFSET('AUG-21'!$A$1,MATCH(Sheet1!A47,'AUG-21'!$A:$A,0),6,22,1))),0)</f>
        <v>0</v>
      </c>
      <c r="O56" s="16">
        <f t="array" aca="1" ref="O56" ca="1">IFERROR(SUM(SUMIF(OFFSET('AUG-21'!$A$1,MATCH(Sheet1!A47,'AUG-21'!$A:$A,0),2,22,1),{"HB*USE","HB*INT"},OFFSET('AUG-21'!$A$1,MATCH(Sheet1!A47,'AUG-21'!$A:$A,0),3,22,1))),0)</f>
        <v>0</v>
      </c>
      <c r="P56" s="16">
        <f t="array" aca="1" ref="P56" ca="1">IFERROR(SUM(SUMIF(OFFSET('AUG-21'!$A$1,MATCH(Sheet1!A47,'AUG-21'!$A:$A,0),5,22,1),{"OTHE*1","CO.*1","OTHE*2","WEL*ND","BAN*1","CLU*ND","RD*1","LI*2","MIS*US","*TAINAN*","MCA*INT*","MAIN*NANCE*","*C M Relief Fund*","Co. Op. Hsg Soc.*","GPF_ADV*","Co. Op. Cr. Soc. 2*","DCPS DA","DCPS Pay","MCA Int"},OFFSET('AUG-21'!$A$1,MATCH(Sheet1!A47,'AUG-21'!$A:$A,0),6,22,1)))+SUM(SUMIF(OFFSET('AUG-21'!$A$1,MATCH(Sheet1!A47,'AUG-21'!$A:$A,0),2,22,1),{"MCA","COM*DV*","HB*ND","CO*SOC","HRR","SRV*H","ACC*CY","F.A","STAMP_REVENUE","*C M Relief Fund*","GPF_ADV*","Co. Op. Cr. Soc. 2*","DCPS DA","DCPS Pay","MCA Int"},OFFSET('AUG-21'!$A$1,MATCH(Sheet1!A47,'AUG-21'!$A:$A,0),3,22,1))),0)</f>
        <v>0</v>
      </c>
      <c r="Q56" s="17">
        <f t="shared" ca="1" si="10"/>
        <v>0</v>
      </c>
      <c r="R56" s="17">
        <f t="array" aca="1" ref="R56" ca="1">IFERROR(SUM(SUMIF(OFFSET('AUG-21'!$A$1,MATCH(Sheet1!A47,'AUG-21'!$A:$A,0),2,22,1),{"*I. *ax*"},OFFSET('AUG-21'!$A$1,MATCH(Sheet1!A47,'AUG-21'!$A:$A,0),3,22,1))),0)</f>
        <v>0</v>
      </c>
      <c r="S56" s="46" t="str">
        <f t="array" aca="1" ref="S56" ca="1">+IFERROR(IF(OFFSET('AUG-21'!$B$1,MATCH(Sheet1!A47,'AUG-21'!B:B,0)-2,0,1,1)=Sheet1!J56,IF(MID(IFERROR(OFFSET('AUG-21'!$B$1,MATCH(Sheet1!A47,'AUG-21'!$B:$B,0)-1,-1,1,1),"GROSS ERROR"),11,FIND(" ",OFFSET('AUG-21'!$B$1,MATCH(Sheet1!A47,'AUG-21'!$B:$B,0)-1,-1,1,1),12)-11)-Q56=0,"","NET MISMATCH"),"GROSS MISMATCH"),"")</f>
        <v/>
      </c>
      <c r="T56" s="47"/>
      <c r="U56" s="49"/>
      <c r="V56" s="18"/>
      <c r="W56" s="7"/>
      <c r="X56" s="18"/>
      <c r="Y56" s="7"/>
      <c r="Z56" s="19"/>
      <c r="AC56" s="7"/>
      <c r="AD56" s="7"/>
      <c r="AE56" s="7"/>
      <c r="AF56" s="7"/>
      <c r="AG56" s="7"/>
      <c r="AH56" s="7"/>
      <c r="AI56" s="49"/>
      <c r="AJ56" s="49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64" t="str">
        <f>+G48</f>
        <v>PAN</v>
      </c>
      <c r="BI56" s="47" t="str">
        <f>+A47</f>
        <v/>
      </c>
      <c r="BJ56" s="18" t="str">
        <f t="array" aca="1" ref="BJ56" ca="1">IFERROR(OFFSET('AUG-21'!$B$1,MATCH(Sheet1!A47,'AUG-21'!$B:$B,0)+1,0,1,1),"")</f>
        <v/>
      </c>
      <c r="BK56" s="64">
        <f t="shared" ca="1" si="7"/>
        <v>0</v>
      </c>
      <c r="BL56" s="18">
        <f t="shared" ca="1" si="8"/>
        <v>0</v>
      </c>
      <c r="BM56" s="7" t="str">
        <f t="array" aca="1" ref="BM56" ca="1">IFERROR(OFFSET('AUG-21'!$A$1,MATCH(Sheet1!A47,'AUG-21'!$A:$A,0)-2,0,1,1),"")</f>
        <v/>
      </c>
      <c r="BN56" s="7"/>
      <c r="BO56" s="7"/>
    </row>
    <row r="57" spans="1:67" ht="15" customHeight="1" x14ac:dyDescent="0.25">
      <c r="A57" s="14">
        <v>7</v>
      </c>
      <c r="B57" s="15">
        <v>44440</v>
      </c>
      <c r="C57" s="16">
        <f ca="1">IFERROR(SUM(SUMIF(OFFSET('SEP-21'!$A$1,MATCH(Sheet1!A47,'SEP-21'!$A:$A,0),0,22,1),{"BA*C","BASIC??"},OFFSET('SEP-21'!$A$1,MATCH(Sheet1!A47,'SEP-21'!$A:$A,0),1,22,1))),0)</f>
        <v>0</v>
      </c>
      <c r="D57" s="16">
        <f ca="1">IFERROR(SUM(SUMIF(OFFSET('SEP-21'!$A$1,MATCH(Sheet1!A47,'SEP-21'!$A:$A,0),0,22,1),{"DA*C","D. *"},OFFSET('SEP-21'!$A$1,MATCH(Sheet1!A47,'SEP-21'!$A:$A,0),1,22,1))),0)</f>
        <v>0</v>
      </c>
      <c r="E57" s="16">
        <f ca="1">IFERROR(SUM(SUMIF(OFFSET('SEP-21'!$A$1,MATCH(Sheet1!A47,'SEP-21'!$A:$A,0),0,22,1),{"H. R. A."},OFFSET('SEP-21'!$A$1,MATCH(Sheet1!A47,'SEP-21'!$A:$A,0),1,22,1))),0)</f>
        <v>0</v>
      </c>
      <c r="F57" s="16">
        <f t="array" aca="1" ref="F57" ca="1">IFERROR(SUM(SUMIF(OFFSET('SEP-21'!$A$1,MATCH(Sheet1!A47,'SEP-21'!$A:$A,0),0,22,1),{"SP*AY*","S D A*","O.A.*","CLA (5th Pay)*","REF. Allow*","Trans.Allw.*","LF*","P. O.*","ARM*","Conv.A*","Otr.Allow*","Trans_Arrear*","BMIA*","Incentives*","Fit Allow*","KMA","NON-*","U.*","ME*A","PG*","Per.Tra"},OFFSET('SEP-21'!$A$1,MATCH(Sheet1!A47,'SEP-21'!$A:$A,0),1,22,1))),0)</f>
        <v>0</v>
      </c>
      <c r="G57" s="16">
        <f ca="1">IFERROR(SUM(SUMIF(OFFSET('SEP-21'!$A$1,MATCH(Sheet1!A47,'SEP-21'!$A:$A,0),0,22,1),{"WA"},OFFSET('SEP-21'!$A$1,MATCH(Sheet1!A47,'SEP-21'!$A:$A,0),1,22,1))),0)</f>
        <v>0</v>
      </c>
      <c r="H57" s="16">
        <f ca="1">IFERROR(SUM(SUMIF(OFFSET('SEP-21'!$A$1,MATCH(Sheet1!A47,'SEP-21'!$A:$A,0),0,22,1),{"DCPS","GROSS_ADJUST"},OFFSET('SEP-21'!$A$1,MATCH(Sheet1!A47,'SEP-21'!$A:$A,0),1,22,1))),0)</f>
        <v>0</v>
      </c>
      <c r="I57" s="16">
        <f t="array" aca="1" ref="I57" ca="1">++IFERROR(SUM(SUMIF(OFFSET('SEP-21'!$A$1,MATCH(Sheet1!A47,'SEP-21'!$A:$A,0),0,22,1),{"Basic*Arr*","7th Pay* Arr*"},OFFSET('SEP-21'!$A$1,MATCH(Sheet1!A47,'SEP-21'!$A:$A,0),1,22,1))),0)</f>
        <v>0</v>
      </c>
      <c r="J57" s="16">
        <f t="shared" ca="1" si="9"/>
        <v>0</v>
      </c>
      <c r="K57" s="16">
        <f ca="1">IFERROR(SUM(SUMIF(OFFSET('SEP-21'!$A$1,MATCH(Sheet1!A47,'SEP-21'!$A:$A,0),2,22,1),{"*Pro*ax*"},OFFSET('SEP-21'!$A$1,MATCH(Sheet1!A47,'SEP-21'!$A:$A,0),3,22,1))),0)</f>
        <v>0</v>
      </c>
      <c r="L57" s="16">
        <f ca="1">IFERROR(SUM(SUMIF(OFFSET('SEP-21'!$A$1,MATCH(Sheet1!A47,'SEP-21'!$A:$A,0),2,22,1),{"GPF_G*","DCPS"},OFFSET('SEP-21'!$A$1,MATCH(Sheet1!A47,'SEP-21'!$A:$A,0),3,22,1))),0)</f>
        <v>0</v>
      </c>
      <c r="M57" s="16">
        <f ca="1">IFERROR(SUM(SUMIF(OFFSET('SEP-21'!$A$1,MATCH(Sheet1!A47,'SEP-21'!$A:$A,0),2,22,1),{"*GIS","GIS*R"},OFFSET('SEP-21'!$A$1,MATCH(Sheet1!A47,'SEP-21'!$A:$A,0),3,22,1))),0)</f>
        <v>0</v>
      </c>
      <c r="N57" s="16">
        <f ca="1">IFERROR(SUM(SUMIF(OFFSET('SEP-21'!$A$1,MATCH(Sheet1!A47,'SEP-21'!$A:$A,0),5,22,1),{"LI*1"},OFFSET('SEP-21'!$A$1,MATCH(Sheet1!A47,'SEP-21'!$A:$A,0),6,22,1))),0)</f>
        <v>0</v>
      </c>
      <c r="O57" s="16">
        <f t="array" aca="1" ref="O57" ca="1">IFERROR(SUM(SUMIF(OFFSET('SEP-21'!$A$1,MATCH(Sheet1!A47,'SEP-21'!$A:$A,0),2,22,1),{"HB*USE","HB*INT"},OFFSET('SEP-21'!$A$1,MATCH(Sheet1!A47,'SEP-21'!$A:$A,0),3,22,1))),0)</f>
        <v>0</v>
      </c>
      <c r="P57" s="16">
        <f t="array" aca="1" ref="P57" ca="1">IFERROR(SUM(SUMIF(OFFSET('SEP-21'!$A$1,MATCH(Sheet1!A47,'SEP-21'!$A:$A,0),5,22,1),{"OTHE*1","CO.*1","OTHE*2","WEL*ND","BAN*1","CLU*ND","RD*1","LI*2","MIS*US","*TAINAN*","MCA*INT*","MAIN*NANCE*","*C M Relief Fund*","Co. Op. Hsg Soc.*","GPF_ADV*","Co. Op. Cr. Soc. 2*","DCPS DA","DCPS Pay","MCA Int"},OFFSET('SEP-21'!$A$1,MATCH(Sheet1!A47,'SEP-21'!$A:$A,0),6,22,1)))+SUM(SUMIF(OFFSET('SEP-21'!$A$1,MATCH(Sheet1!A47,'SEP-21'!$A:$A,0),2,22,1),{"MCA","COM*DV*","HB*ND","CO*SOC","HRR","SRV*H","ACC*CY","F.A","STAMP_REVENUE","*C M Relief Fund*","GPF_ADV*","Co. Op. Cr. Soc. 2*","DCPS DA","DCPS Pay","MCA Int"},OFFSET('SEP-21'!$A$1,MATCH(Sheet1!A47,'SEP-21'!$A:$A,0),3,22,1))),0)</f>
        <v>0</v>
      </c>
      <c r="Q57" s="17">
        <f t="shared" ref="Q57:Q63" ca="1" si="11">+J57-H57-K57-L57-M57-N57-O57-P57-R57</f>
        <v>0</v>
      </c>
      <c r="R57" s="17">
        <f t="array" aca="1" ref="R57" ca="1">IFERROR(SUM(SUMIF(OFFSET('SEP-21'!$A$1,MATCH(Sheet1!A47,'SEP-21'!$A:$A,0),2,22,1),{"*I. *ax*"},OFFSET('SEP-21'!$A$1,MATCH(Sheet1!A47,'SEP-21'!$A:$A,0),3,22,1))),0)</f>
        <v>0</v>
      </c>
      <c r="S57" s="46" t="str">
        <f t="array" aca="1" ref="S57" ca="1">+IFERROR(IF(OFFSET('SEP-21'!$B$1,MATCH(Sheet1!A47,'SEP-21'!B:B,0)-2,0,1,1)=Sheet1!J57,IF(MID(IFERROR(OFFSET('SEP-21'!$B$1,MATCH(Sheet1!A47,'SEP-21'!$B:$B,0)-1,-1,1,1),"GROSS ERROR"),11,FIND(" ",OFFSET('SEP-21'!$B$1,MATCH(Sheet1!A47,'SEP-21'!$B:$B,0)-1,-1,1,1),12)-11)-Q57=0,"","NET MISMATCH"),"GROSS MISMATCH"),"")</f>
        <v/>
      </c>
      <c r="T57" s="47"/>
      <c r="U57" s="49"/>
      <c r="V57" s="18"/>
      <c r="W57" s="7"/>
      <c r="X57" s="18"/>
      <c r="Y57" s="7"/>
      <c r="Z57" s="19"/>
      <c r="AC57" s="7"/>
      <c r="AD57" s="7"/>
      <c r="AE57" s="7"/>
      <c r="AF57" s="7"/>
      <c r="AG57" s="7"/>
      <c r="AH57" s="7"/>
      <c r="AI57" s="49"/>
      <c r="AJ57" s="49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64" t="str">
        <f>+G48</f>
        <v>PAN</v>
      </c>
      <c r="BI57" s="47" t="str">
        <f>+A47</f>
        <v/>
      </c>
      <c r="BJ57" s="18" t="str">
        <f t="array" aca="1" ref="BJ57" ca="1">IFERROR(OFFSET('SEP-21'!$B$1,MATCH(Sheet1!A47,'SEP-21'!$B:$B,0)+1,0,1,1),"")</f>
        <v/>
      </c>
      <c r="BK57" s="64">
        <f t="shared" ca="1" si="7"/>
        <v>0</v>
      </c>
      <c r="BL57" s="18">
        <f t="shared" ca="1" si="8"/>
        <v>0</v>
      </c>
      <c r="BM57" s="7" t="str">
        <f t="array" aca="1" ref="BM57" ca="1">IFERROR(OFFSET('SEP-21'!$A$1,MATCH(Sheet1!A47,'SEP-21'!$A:$A,0)-2,0,1,1),"")</f>
        <v/>
      </c>
      <c r="BN57" s="7"/>
      <c r="BO57" s="7"/>
    </row>
    <row r="58" spans="1:67" ht="15" customHeight="1" x14ac:dyDescent="0.25">
      <c r="A58" s="14">
        <v>8</v>
      </c>
      <c r="B58" s="15">
        <v>44470</v>
      </c>
      <c r="C58" s="16">
        <f ca="1">IFERROR(SUM(SUMIF(OFFSET('OCT-21'!$A$1,MATCH(Sheet1!A47,'OCT-21'!$A:$A,0),0,22,1),{"BA*C","BASIC??"},OFFSET('OCT-21'!$A$1,MATCH(Sheet1!A47,'OCT-21'!$A:$A,0),1,22,1))),0)</f>
        <v>0</v>
      </c>
      <c r="D58" s="16">
        <f ca="1">IFERROR(SUM(SUMIF(OFFSET('OCT-21'!$A$1,MATCH(Sheet1!A47,'OCT-21'!$A:$A,0),0,22,1),{"DA*C","D. *"},OFFSET('OCT-21'!$A$1,MATCH(Sheet1!A47,'OCT-21'!$A:$A,0),1,22,1))),0)</f>
        <v>0</v>
      </c>
      <c r="E58" s="16">
        <f ca="1">IFERROR(SUM(SUMIF(OFFSET('OCT-21'!$A$1,MATCH(Sheet1!A47,'OCT-21'!$A:$A,0),0,22,1),{"H. R. A."},OFFSET('OCT-21'!$A$1,MATCH(Sheet1!A47,'OCT-21'!$A:$A,0),1,22,1))),0)</f>
        <v>0</v>
      </c>
      <c r="F58" s="16">
        <f t="array" aca="1" ref="F58" ca="1">IFERROR(SUM(SUMIF(OFFSET('OCT-21'!$A$1,MATCH(Sheet1!A47,'OCT-21'!$A:$A,0),0,22,1),{"SP*AY*","S D A*","O.A.*","CLA (5th Pay)*","REF. Allow*","Trans.Allw.*","LF*","P. O.*","ARM*","Conv.A*","Otr.Allow*","Trans_Arrear*","BMIA*","Incentives*","Fit Allow*","KMA","NON-*","U.*","ME*A","PG*","Per.Tra"},OFFSET('OCT-21'!$A$1,MATCH(Sheet1!A47,'OCT-21'!$A:$A,0),1,22,1))),0)</f>
        <v>0</v>
      </c>
      <c r="G58" s="16">
        <f ca="1">IFERROR(SUM(SUMIF(OFFSET('OCT-21'!$A$1,MATCH(Sheet1!A47,'OCT-21'!$A:$A,0),0,22,1),{"WA"},OFFSET('OCT-21'!$A$1,MATCH(Sheet1!A47,'OCT-21'!$A:$A,0),1,22,1))),0)</f>
        <v>0</v>
      </c>
      <c r="H58" s="16">
        <f ca="1">IFERROR(SUM(SUMIF(OFFSET('OCT-21'!$A$1,MATCH(Sheet1!A47,'OCT-21'!$A:$A,0),0,22,1),{"DCPS","GROSS_ADJUST"},OFFSET('OCT-21'!$A$1,MATCH(Sheet1!A47,'OCT-21'!$A:$A,0),1,22,1))),0)</f>
        <v>0</v>
      </c>
      <c r="I58" s="16">
        <f t="array" aca="1" ref="I58" ca="1">+IFERROR(SUM(SUMIF(OFFSET('OCT-21'!$A$1,MATCH(Sheet1!A47,'OCT-21'!$A:$A,0),0,22,1),{"Basic*Arr*","7th Pay* Arr*","DA Arr"},OFFSET('OCT-21'!$A$1,MATCH(Sheet1!A47,'OCT-21'!$A:$A,0),1,22,1))),0)</f>
        <v>0</v>
      </c>
      <c r="J58" s="16">
        <f t="shared" ca="1" si="9"/>
        <v>0</v>
      </c>
      <c r="K58" s="16">
        <f ca="1">IFERROR(SUM(SUMIF(OFFSET('OCT-21'!$A$1,MATCH(Sheet1!A47,'OCT-21'!$A:$A,0),2,22,1),{"*Pro*ax*"},OFFSET('OCT-21'!$A$1,MATCH(Sheet1!A47,'OCT-21'!$A:$A,0),3,22,1))),0)</f>
        <v>0</v>
      </c>
      <c r="L58" s="16">
        <f t="array" aca="1" ref="L58" ca="1">IFERROR(SUM(SUMIF(OFFSET('OCT-21'!$A$1,MATCH(Sheet1!A47,'OCT-21'!$A:$A,0),2,22,1),{"GPF_G*","DCPS","DCPS DA*"},OFFSET('OCT-21'!$A$1,MATCH(Sheet1!A47,'OCT-21'!$A:$A,0),3,22,1))),0)</f>
        <v>0</v>
      </c>
      <c r="M58" s="16">
        <f ca="1">IFERROR(SUM(SUMIF(OFFSET('OCT-21'!$A$1,MATCH(Sheet1!A47,'OCT-21'!$A:$A,0),2,22,1),{"*GIS","GIS*R"},OFFSET('OCT-21'!$A$1,MATCH(Sheet1!A47,'OCT-21'!$A:$A,0),3,22,1))),0)</f>
        <v>0</v>
      </c>
      <c r="N58" s="16">
        <f ca="1">IFERROR(SUM(SUMIF(OFFSET('OCT-21'!$A$1,MATCH(Sheet1!A47,'OCT-21'!$A:$A,0),5,22,1),{"LI*1"},OFFSET('OCT-21'!$A$1,MATCH(Sheet1!A47,'OCT-21'!$A:$A,0),6,22,1))),0)</f>
        <v>0</v>
      </c>
      <c r="O58" s="16">
        <f t="array" aca="1" ref="O58" ca="1">IFERROR(SUM(SUMIF(OFFSET('OCT-21'!$A$1,MATCH(Sheet1!A47,'OCT-21'!$A:$A,0),2,22,1),{"HB*USE","HB*INT"},OFFSET('OCT-21'!$A$1,MATCH(Sheet1!A47,'OCT-21'!$A:$A,0),3,22,1))),0)</f>
        <v>0</v>
      </c>
      <c r="P58" s="16">
        <f t="array" aca="1" ref="P58" ca="1">IFERROR(SUM(SUMIF(OFFSET('OCT-21'!$A$1,MATCH(Sheet1!A47,'OCT-21'!$A:$A,0),5,22,1),{"OTHE*1","CO.*1","OTHE*2","WEL*ND","BAN*1","CLU*ND","RD*1","LI*2","MIS*US","*TAINAN*","MCA*INT*","MAIN*NANCE*","*C M Relief Fund*","Co. Op. Hsg Soc.*","GPF_ADV*","Co. Op. Cr. Soc. 2*","DCPS Pay"},OFFSET('OCT-21'!$A$1,MATCH(Sheet1!A47,'OCT-21'!$A:$A,0),6,22,1)))+SUM(SUMIF(OFFSET('OCT-21'!$A$1,MATCH(Sheet1!A47,'OCT-21'!$A:$A,0),2,22,1),{"MCA","COM*DV*","HB*ND","CO*SOC","HRR","SRV*H","ACC*CY","F.A","STAMP_REVENUE","*C M Relief Fund*","GPF_ADV*","Co. Op. Cr. Soc. 2*","DCPS Pay"},OFFSET('OCT-21'!$A$1,MATCH(Sheet1!A47,'OCT-21'!$A:$A,0),3,22,1))),0)</f>
        <v>0</v>
      </c>
      <c r="Q58" s="17">
        <f t="shared" ca="1" si="11"/>
        <v>0</v>
      </c>
      <c r="R58" s="17">
        <f t="array" aca="1" ref="R58" ca="1">IFERROR(SUM(SUMIF(OFFSET('OCT-21'!$A$1,MATCH(Sheet1!A47,'OCT-21'!$A:$A,0),2,22,1),{"*I. *ax*"},OFFSET('OCT-21'!$A$1,MATCH(Sheet1!A47,'OCT-21'!$A:$A,0),3,22,1))),0)</f>
        <v>0</v>
      </c>
      <c r="S58" s="46" t="str">
        <f t="array" aca="1" ref="S58" ca="1">+IFERROR(IF(OFFSET('OCT-21'!$B$1,MATCH(Sheet1!A47,'OCT-21'!B:B,0)-2,0,1,1)=Sheet1!J58,IF(MID(IFERROR(OFFSET('OCT-21'!$B$1,MATCH(Sheet1!A47,'OCT-21'!$B:$B,0)-1,-1,1,1),"GROSS ERROR"),11,FIND(" ",OFFSET('OCT-21'!$B$1,MATCH(Sheet1!A47,'OCT-21'!$B:$B,0)-1,-1,1,1),12)-11)-Q58=0,"","NET MISMATCH"),"GROSS MISMATCH"),"")</f>
        <v/>
      </c>
      <c r="T58" s="47"/>
      <c r="U58" s="49"/>
      <c r="V58" s="18"/>
      <c r="W58" s="7"/>
      <c r="X58" s="18"/>
      <c r="Y58" s="7"/>
      <c r="Z58" s="19"/>
      <c r="AC58" s="7"/>
      <c r="AD58" s="7"/>
      <c r="AE58" s="7"/>
      <c r="AF58" s="7"/>
      <c r="AG58" s="7"/>
      <c r="AH58" s="7"/>
      <c r="AI58" s="49"/>
      <c r="AJ58" s="49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64" t="str">
        <f>+G48</f>
        <v>PAN</v>
      </c>
      <c r="BI58" s="47" t="str">
        <f>+A47</f>
        <v/>
      </c>
      <c r="BJ58" s="18" t="str">
        <f t="array" aca="1" ref="BJ58" ca="1">+IFERROR(OFFSET('OCT-21'!$B$1,MATCH(Sheet1!A47,'OCT-21'!$B:$B,0)+1,0,1,1),"")</f>
        <v/>
      </c>
      <c r="BK58" s="64">
        <f t="shared" ca="1" si="7"/>
        <v>0</v>
      </c>
      <c r="BL58" s="18">
        <f t="shared" ca="1" si="8"/>
        <v>0</v>
      </c>
      <c r="BM58" s="7" t="str">
        <f t="array" aca="1" ref="BM58" ca="1">IFERROR(OFFSET('OCT-21'!$A$1,MATCH(Sheet1!A47,'OCT-21'!$A:$A,0)-2,0,1,1),"")</f>
        <v/>
      </c>
      <c r="BN58" s="7"/>
      <c r="BO58" s="7"/>
    </row>
    <row r="59" spans="1:67" ht="15" customHeight="1" x14ac:dyDescent="0.25">
      <c r="A59" s="14">
        <v>9</v>
      </c>
      <c r="B59" s="15">
        <v>44501</v>
      </c>
      <c r="C59" s="16">
        <f ca="1">IFERROR(SUM(SUMIF(OFFSET('NOV-21'!$A$1,MATCH(Sheet1!A47,'NOV-21'!$A:$A,0),0,22,1),{"BA*C","BASIC??"},OFFSET('NOV-21'!$A$1,MATCH(Sheet1!A47,'NOV-21'!$A:$A,0),1,22,1))),0)</f>
        <v>0</v>
      </c>
      <c r="D59" s="16">
        <f ca="1">IFERROR(SUM(SUMIF(OFFSET('NOV-21'!$A$1,MATCH(Sheet1!A47,'NOV-21'!$A:$A,0),0,22,1),{"DA*C","D. *"},OFFSET('NOV-21'!$A$1,MATCH(Sheet1!A47,'NOV-21'!$A:$A,0),1,22,1))),0)</f>
        <v>0</v>
      </c>
      <c r="E59" s="16">
        <f ca="1">IFERROR(SUM(SUMIF(OFFSET('NOV-21'!$A$1,MATCH(Sheet1!A47,'NOV-21'!$A:$A,0),0,22,1),{"H. R. A."},OFFSET('NOV-21'!$A$1,MATCH(Sheet1!A47,'NOV-21'!$A:$A,0),1,22,1))),0)</f>
        <v>0</v>
      </c>
      <c r="F59" s="16">
        <f t="array" aca="1" ref="F59" ca="1">IFERROR(SUM(SUMIF(OFFSET('NOV-21'!$A$1,MATCH(Sheet1!A47,'NOV-21'!$A:$A,0),0,22,1),{"SP*AY*","S D A*","O.A.*","CLA (5th Pay)*","REF. Allow*","Trans.Allw.*","LF*","P. O.*","ARM*","Conv.A*","Otr.Allow*","Trans_Arrear*","BMIA*","Incentives*","Fit Allow*","KMA","NON-*","U.*","ME*A","PG*","Per.Tra"},OFFSET('NOV-21'!$A$1,MATCH(Sheet1!A47,'NOV-21'!$A:$A,0),1,22,1))),0)</f>
        <v>0</v>
      </c>
      <c r="G59" s="16">
        <f ca="1">IFERROR(SUM(SUMIF(OFFSET('NOV-21'!$A$1,MATCH(Sheet1!A47,'NOV-21'!$A:$A,0),0,22,1),{"WA"},OFFSET('NOV-21'!$A$1,MATCH(Sheet1!A47,'NOV-21'!$A:$A,0),1,22,1))),0)</f>
        <v>0</v>
      </c>
      <c r="H59" s="16">
        <f ca="1">IFERROR(SUM(SUMIF(OFFSET('NOV-21'!$A$1,MATCH(Sheet1!A47,'NOV-21'!$A:$A,0),0,22,1),{"DCPS","GROSS_ADJUST"},OFFSET('NOV-21'!$A$1,MATCH(Sheet1!A47,'NOV-21'!$A:$A,0),1,22,1))),0)</f>
        <v>0</v>
      </c>
      <c r="I59" s="16">
        <f t="array" aca="1" ref="I59" ca="1">+IFERROR(SUM(SUMIF(OFFSET('NOV-21'!$A$1,MATCH(Sheet1!A47,'NOV-21'!$A:$A,0),0,22,1),{"Basic*Arr*","7th Pay* Arr*","DA Arr"},OFFSET('NOV-21'!$A$1,MATCH(Sheet1!A47,'NOV-21'!$A:$A,0),1,22,1))),0)</f>
        <v>0</v>
      </c>
      <c r="J59" s="16">
        <f t="shared" ca="1" si="9"/>
        <v>0</v>
      </c>
      <c r="K59" s="16">
        <f ca="1">IFERROR(SUM(SUMIF(OFFSET('NOV-21'!$A$1,MATCH(Sheet1!A47,'NOV-21'!$A:$A,0),2,22,1),{"*Pro*ax*"},OFFSET('NOV-21'!$A$1,MATCH(Sheet1!A47,'NOV-21'!$A:$A,0),3,22,1))),0)</f>
        <v>0</v>
      </c>
      <c r="L59" s="16">
        <f ca="1">IFERROR(SUM(SUMIF(OFFSET('NOV-21'!$A$1,MATCH(Sheet1!A47,'NOV-21'!$A:$A,0),2,22,1),{"GPF_G*","DCPS"},OFFSET('NOV-21'!$A$1,MATCH(Sheet1!A47,'NOV-21'!$A:$A,0),3,22,1))),0)</f>
        <v>0</v>
      </c>
      <c r="M59" s="16">
        <f ca="1">IFERROR(SUM(SUMIF(OFFSET('NOV-21'!$A$1,MATCH(Sheet1!A47,'NOV-21'!$A:$A,0),2,22,1),{"*GIS","GIS*R"},OFFSET('NOV-21'!$A$1,MATCH(Sheet1!A47,'NOV-21'!$A:$A,0),3,22,1))),0)</f>
        <v>0</v>
      </c>
      <c r="N59" s="16">
        <f ca="1">IFERROR(SUM(SUMIF(OFFSET('NOV-21'!$A$1,MATCH(Sheet1!A47,'NOV-21'!$A:$A,0),5,22,1),{"LI*1"},OFFSET('NOV-21'!$A$1,MATCH(Sheet1!A47,'NOV-21'!$A:$A,0),6,22,1))),0)</f>
        <v>0</v>
      </c>
      <c r="O59" s="16">
        <f t="array" aca="1" ref="O59" ca="1">IFERROR(SUM(SUMIF(OFFSET('NOV-21'!$A$1,MATCH(Sheet1!A47,'NOV-21'!$A:$A,0),2,22,1),{"HB*USE","HB*INT"},OFFSET('NOV-21'!$A$1,MATCH(Sheet1!A47,'NOV-21'!$A:$A,0),3,22,1))),0)</f>
        <v>0</v>
      </c>
      <c r="P59" s="16">
        <f t="array" aca="1" ref="P59" ca="1">IFERROR(SUM(SUMIF(OFFSET('NOV-21'!$A$1,MATCH(Sheet1!A47,'NOV-21'!$A:$A,0),5,22,1),{"OTHE*1","CO.*1","OTHE*2","WEL*ND","BAN*1","CLU*ND","RD*1","LI*2","MIS*US","*TAINAN*","MCA*INT*","MAIN*NANCE*","*C M Relief Fund*","Co. Op. Hsg Soc.*","GPF_ADV*","Co. Op. Cr. Soc. 2*","DCPS DA","DCPS Pay","MCA Int"},OFFSET('NOV-21'!$A$1,MATCH(Sheet1!A47,'NOV-21'!$A:$A,0),6,22,1)))+SUM(SUMIF(OFFSET('NOV-21'!$A$1,MATCH(Sheet1!A47,'NOV-21'!$A:$A,0),2,22,1),{"MCA","COM*DV*","HB*ND","CO*SOC","HRR","SRV*H","ACC*CY","F.A","STAMP_REVENUE","*C M Relief Fund*","GPF_ADV*","Co. Op. Cr. Soc. 2*","DCPS DA","DCPS Pay","MCA Int"},OFFSET('NOV-21'!$A$1,MATCH(Sheet1!A47,'NOV-21'!$A:$A,0),3,22,1))),0)</f>
        <v>0</v>
      </c>
      <c r="Q59" s="17">
        <f t="shared" ca="1" si="11"/>
        <v>0</v>
      </c>
      <c r="R59" s="17">
        <f t="array" aca="1" ref="R59" ca="1">IFERROR(SUM(SUMIF(OFFSET('NOV-21'!$A$1,MATCH(Sheet1!A47,'NOV-21'!$A:$A,0),2,22,1),{"*I. *ax*"},OFFSET('NOV-21'!$A$1,MATCH(Sheet1!A47,'NOV-21'!$A:$A,0),3,22,1))),0)</f>
        <v>0</v>
      </c>
      <c r="S59" s="46" t="str">
        <f t="array" aca="1" ref="S59" ca="1">+IFERROR(IF(OFFSET('NOV-21'!$B$1,MATCH(Sheet1!A47,'NOV-21'!B:B,0)-2,0,1,1)=Sheet1!J59,IF(MID(IFERROR(OFFSET('NOV-21'!$B$1,MATCH(Sheet1!A47,'NOV-21'!$B:$B,0)-1,-1,1,1),"GROSS ERROR"),11,FIND(" ",OFFSET('NOV-21'!$B$1,MATCH(Sheet1!A47,'NOV-21'!$B:$B,0)-1,-1,1,1),12)-11)-Q59=0,"","NET MISMATCH"),"GROSS MISMATCH"),"")</f>
        <v/>
      </c>
      <c r="T59" s="47"/>
      <c r="U59" s="49"/>
      <c r="V59" s="18"/>
      <c r="W59" s="7"/>
      <c r="X59" s="18"/>
      <c r="Y59" s="7"/>
      <c r="Z59" s="19"/>
      <c r="AC59" s="7"/>
      <c r="AD59" s="7"/>
      <c r="AE59" s="7"/>
      <c r="AF59" s="7"/>
      <c r="AG59" s="7"/>
      <c r="AH59" s="7"/>
      <c r="AI59" s="49"/>
      <c r="AJ59" s="49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64" t="str">
        <f>+G48</f>
        <v>PAN</v>
      </c>
      <c r="BI59" s="47" t="str">
        <f>+A47</f>
        <v/>
      </c>
      <c r="BJ59" s="18" t="str">
        <f t="array" aca="1" ref="BJ59" ca="1">+IFERROR(OFFSET('NOV-21'!$B$1,MATCH(Sheet1!A47,'NOV-21'!$B:$B,0)+1,0,1,1),"")</f>
        <v/>
      </c>
      <c r="BK59" s="64">
        <f t="shared" ca="1" si="7"/>
        <v>0</v>
      </c>
      <c r="BL59" s="18">
        <f t="shared" ca="1" si="8"/>
        <v>0</v>
      </c>
      <c r="BM59" s="7" t="str">
        <f t="array" aca="1" ref="BM59" ca="1">IFERROR(OFFSET('NOV-21'!$A$1,MATCH(Sheet1!A47,'NOV-21'!$A:$A,0)-2,0,1,1),"")</f>
        <v/>
      </c>
      <c r="BN59" s="7"/>
      <c r="BO59" s="7"/>
    </row>
    <row r="60" spans="1:67" ht="15" customHeight="1" x14ac:dyDescent="0.25">
      <c r="A60" s="14">
        <v>10</v>
      </c>
      <c r="B60" s="15">
        <v>44531</v>
      </c>
      <c r="C60" s="16">
        <f ca="1">IFERROR(SUM(SUMIF(OFFSET('DEC-21'!$A$1,MATCH(Sheet1!A47,'DEC-21'!$A:$A,0),0,22,1),{"BA*C","BASIC??"},OFFSET('DEC-21'!$A$1,MATCH(Sheet1!A47,'DEC-21'!$A:$A,0),1,22,1))),0)</f>
        <v>0</v>
      </c>
      <c r="D60" s="16">
        <f ca="1">IFERROR(SUM(SUMIF(OFFSET('DEC-21'!$A$1,MATCH(Sheet1!A47,'DEC-21'!$A:$A,0),0,22,1),{"DA*C","D. *"},OFFSET('DEC-21'!$A$1,MATCH(Sheet1!A47,'DEC-21'!$A:$A,0),1,22,1))),0)</f>
        <v>0</v>
      </c>
      <c r="E60" s="16">
        <f ca="1">IFERROR(SUM(SUMIF(OFFSET('DEC-21'!$A$1,MATCH(Sheet1!A47,'DEC-21'!$A:$A,0),0,22,1),{"H. R. A."},OFFSET('DEC-21'!$A$1,MATCH(Sheet1!A47,'DEC-21'!$A:$A,0),1,22,1))),0)</f>
        <v>0</v>
      </c>
      <c r="F60" s="16">
        <f t="array" aca="1" ref="F60" ca="1">IFERROR(SUM(SUMIF(OFFSET('DEC-21'!$A$1,MATCH(Sheet1!A47,'DEC-21'!$A:$A,0),0,22,1),{"SP*AY*","S D A*","O.A.*","CLA (5th Pay)*","REF. Allow*","Trans.Allw.*","LF*","P. O.*","ARM*","Conv.A*","Otr.Allow*","Trans_Arrear*","BMIA*","Incentives*","Fit Allow*","KMA","NON-*","U.*","ME*A","PG*","Per.Tra"},OFFSET('DEC-21'!$A$1,MATCH(Sheet1!A47,'DEC-21'!$A:$A,0),1,22,1))),0)</f>
        <v>0</v>
      </c>
      <c r="G60" s="16">
        <f ca="1">IFERROR(SUM(SUMIF(OFFSET('DEC-21'!$A$1,MATCH(Sheet1!A47,'DEC-21'!$A:$A,0),0,22,1),{"WA"},OFFSET('DEC-21'!$A$1,MATCH(Sheet1!A47,'DEC-21'!$A:$A,0),1,22,1))),0)</f>
        <v>0</v>
      </c>
      <c r="H60" s="16">
        <f ca="1">IFERROR(SUM(SUMIF(OFFSET('DEC-21'!$A$1,MATCH(Sheet1!A47,'DEC-21'!$A:$A,0),0,22,1),{"DCPS","GROSS_ADJUST"},OFFSET('DEC-21'!$A$1,MATCH(Sheet1!A47,'DEC-21'!$A:$A,0),1,22,1))),0)</f>
        <v>0</v>
      </c>
      <c r="I60" s="16">
        <f t="array" aca="1" ref="I60" ca="1">+IFERROR(SUM(SUMIF(OFFSET('DEC-21'!$A$1,MATCH(Sheet1!A47,'DEC-21'!$A:$A,0),0,22,1),{"Basic*Arr*","7th Pay* Arr*"},OFFSET('DEC-21'!$A$1,MATCH(Sheet1!A47,'DEC-21'!$A:$A,0),1,22,1))),0)</f>
        <v>0</v>
      </c>
      <c r="J60" s="16">
        <f ca="1">SUM(C60:I60)</f>
        <v>0</v>
      </c>
      <c r="K60" s="16">
        <f ca="1">IFERROR(SUM(SUMIF(OFFSET('DEC-21'!$A$1,MATCH(Sheet1!A47,'DEC-21'!$A:$A,0),2,22,1),{"*Pro*ax*"},OFFSET('DEC-21'!$A$1,MATCH(Sheet1!A47,'DEC-21'!$A:$A,0),3,22,1))),0)</f>
        <v>0</v>
      </c>
      <c r="L60" s="16">
        <f ca="1">IFERROR(SUM(SUMIF(OFFSET('DEC-21'!$A$1,MATCH(Sheet1!A47,'DEC-21'!$A:$A,0),2,22,1),{"GPF_G*","DCPS"},OFFSET('DEC-21'!$A$1,MATCH(Sheet1!A47,'DEC-21'!$A:$A,0),3,22,1))),0)</f>
        <v>0</v>
      </c>
      <c r="M60" s="16">
        <f ca="1">IFERROR(SUM(SUMIF(OFFSET('DEC-21'!$A$1,MATCH(Sheet1!A47,'DEC-21'!$A:$A,0),2,22,1),{"*GIS","GIS*R"},OFFSET('DEC-21'!$A$1,MATCH(Sheet1!A47,'DEC-21'!$A:$A,0),3,22,1))),0)</f>
        <v>0</v>
      </c>
      <c r="N60" s="16">
        <f ca="1">IFERROR(SUM(SUMIF(OFFSET('DEC-21'!$A$1,MATCH(Sheet1!A47,'DEC-21'!$A:$A,0),5,22,1),{"LI*1"},OFFSET('DEC-21'!$A$1,MATCH(Sheet1!A47,'DEC-21'!$A:$A,0),6,22,1))),0)</f>
        <v>0</v>
      </c>
      <c r="O60" s="16">
        <f t="array" aca="1" ref="O60" ca="1">IFERROR(SUM(SUMIF(OFFSET('DEC-21'!$A$1,MATCH(Sheet1!A47,'DEC-21'!$A:$A,0),2,22,1),{"HB*USE","HB*INT"},OFFSET('DEC-21'!$A$1,MATCH(Sheet1!A47,'DEC-21'!$A:$A,0),3,22,1))),0)</f>
        <v>0</v>
      </c>
      <c r="P60" s="16">
        <f t="array" aca="1" ref="P60" ca="1">IFERROR(SUM(SUMIF(OFFSET('DEC-21'!$A$1,MATCH(Sheet1!A47,'DEC-21'!$A:$A,0),5,22,1),{"OTHE*1","CO.*1","OTHE*2","WEL*ND","BAN*1","CLU*ND","RD*1","LI*2","MIS*US","*TAINAN*","MCA*INT*","MAIN*NANCE*","*C M Relief Fund*","Co. Op. Hsg Soc.*","GPF_ADV*","Co. Op. Cr. Soc. 2*","DCPS DA","DCPS Pay","MCA Int"},OFFSET('DEC-21'!$A$1,MATCH(Sheet1!A47,'DEC-21'!$A:$A,0),6,22,1)))+SUM(SUMIF(OFFSET('DEC-21'!$A$1,MATCH(Sheet1!A47,'DEC-21'!$A:$A,0),2,22,1),{"MCA","COM*DV*","HB*ND","CO*SOC","HRR","SRV*H","ACC*CY","F.A","STAMP_REVENUE","*C M Relief Fund*","GPF_ADV*","Co. Op. Cr. Soc. 2*","DCPS DA","DCPS Pay","MCA Int"},OFFSET('DEC-21'!$A$1,MATCH(Sheet1!A47,'DEC-21'!$A:$A,0),3,22,1))),0)</f>
        <v>0</v>
      </c>
      <c r="Q60" s="17">
        <f t="shared" ca="1" si="11"/>
        <v>0</v>
      </c>
      <c r="R60" s="17">
        <f t="array" aca="1" ref="R60" ca="1">IFERROR(SUM(SUMIF(OFFSET('DEC-21'!$A$1,MATCH(Sheet1!A47,'DEC-21'!$A:$A,0),2,22,1),{"*I. *ax*"},OFFSET('DEC-21'!$A$1,MATCH(Sheet1!A47,'DEC-21'!$A:$A,0),3,22,1))),0)</f>
        <v>0</v>
      </c>
      <c r="S60" s="46" t="str">
        <f t="array" aca="1" ref="S60" ca="1">+IFERROR(IF(OFFSET('DEC-21'!$B$1,MATCH(Sheet1!A47,'DEC-21'!B:B,0)-2,0,1,1)=Sheet1!J60,IF(MID(IFERROR(OFFSET('DEC-21'!$B$1,MATCH(Sheet1!A47,'DEC-21'!$B:$B,0)-1,-1,1,1),"GROSS ERROR"),11,FIND(" ",OFFSET('DEC-21'!$B$1,MATCH(Sheet1!A47,'DEC-21'!$B:$B,0)-1,-1,1,1),12)-11)-Q60=0,"","NET MISMATCH"),"GROSS MISMATCH"),"")</f>
        <v/>
      </c>
      <c r="T60" s="47"/>
      <c r="U60" s="49"/>
      <c r="V60" s="18"/>
      <c r="W60" s="7"/>
      <c r="X60" s="18"/>
      <c r="Y60" s="7"/>
      <c r="Z60" s="7"/>
      <c r="AC60" s="7"/>
      <c r="AD60" s="7"/>
      <c r="AE60" s="7"/>
      <c r="AF60" s="7"/>
      <c r="AG60" s="7"/>
      <c r="AH60" s="7"/>
      <c r="AI60" s="49"/>
      <c r="AJ60" s="49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64" t="str">
        <f>+G48</f>
        <v>PAN</v>
      </c>
      <c r="BI60" s="47" t="str">
        <f>+A47</f>
        <v/>
      </c>
      <c r="BJ60" s="18" t="str">
        <f t="array" aca="1" ref="BJ60" ca="1">+IFERROR(OFFSET('DEC-21'!$B$1,MATCH(Sheet1!A47,'DEC-21'!$B:$B,0)+1,0,1,1),"")</f>
        <v/>
      </c>
      <c r="BK60" s="64">
        <f t="shared" ca="1" si="7"/>
        <v>0</v>
      </c>
      <c r="BL60" s="18">
        <f t="shared" ca="1" si="8"/>
        <v>0</v>
      </c>
      <c r="BM60" s="7" t="str">
        <f t="array" aca="1" ref="BM60" ca="1">IFERROR(OFFSET('DEC-21'!$A$1,MATCH(Sheet1!A47,'DEC-21'!$A:$A,0)-2,0,1,1),"")</f>
        <v/>
      </c>
      <c r="BN60" s="7"/>
      <c r="BO60" s="7"/>
    </row>
    <row r="61" spans="1:67" ht="15" customHeight="1" x14ac:dyDescent="0.25">
      <c r="A61" s="14">
        <v>11</v>
      </c>
      <c r="B61" s="15">
        <v>44562</v>
      </c>
      <c r="C61" s="16">
        <f ca="1">IFERROR(SUM(SUMIF(OFFSET('JAN-22'!$A$1,MATCH(Sheet1!A47,'JAN-22'!$A:$A,0),0,22,1),{"BA*C","BASIC??"},OFFSET('JAN-22'!$A$1,MATCH(Sheet1!A47,'JAN-22'!$A:$A,0),1,22,1))),0)</f>
        <v>0</v>
      </c>
      <c r="D61" s="16">
        <f ca="1">IFERROR(SUM(SUMIF(OFFSET('JAN-22'!$A$1,MATCH(Sheet1!A47,'JAN-22'!$A:$A,0),0,22,1),{"DA*C","D. *"},OFFSET('JAN-22'!$A$1,MATCH(Sheet1!A47,'JAN-22'!$A:$A,0),1,22,1))),0)</f>
        <v>0</v>
      </c>
      <c r="E61" s="16">
        <f ca="1">IFERROR(SUM(SUMIF(OFFSET('JAN-22'!$A$1,MATCH(Sheet1!A47,'JAN-22'!$A:$A,0),0,22,1),{"H. R. A."},OFFSET('JAN-22'!$A$1,MATCH(Sheet1!A47,'JAN-22'!$A:$A,0),1,22,1))),0)</f>
        <v>0</v>
      </c>
      <c r="F61" s="16">
        <f t="array" aca="1" ref="F61" ca="1">IFERROR(SUM(SUMIF(OFFSET('JAN-22'!$A$1,MATCH(Sheet1!A47,'JAN-22'!$A:$A,0),0,22,1),{"SP*AY*","S D A*","O.A.*","CLA (5th Pay)*","REF. Allow*","Trans.Allw.*","LF*","P. O.*","ARM*","Conv.A*","Otr.Allow*","Trans_Arrear*","BMIA*","Incentives*","Fit Allow*","KMA","NON-*","U.*","ME*A","PG*","Per.Tra"},OFFSET('JAN-22'!$A$1,MATCH(Sheet1!A47,'JAN-22'!$A:$A,0),1,22,1))),0)</f>
        <v>0</v>
      </c>
      <c r="G61" s="16">
        <f ca="1">IFERROR(SUM(SUMIF(OFFSET('JAN-22'!$A$1,MATCH(Sheet1!A47,'JAN-22'!$A:$A,0),0,22,1),{"WA"},OFFSET('JAN-22'!$A$1,MATCH(Sheet1!A47,'JAN-22'!$A:$A,0),1,22,1))),0)</f>
        <v>0</v>
      </c>
      <c r="H61" s="16">
        <f ca="1">IFERROR(SUM(SUMIF(OFFSET('JAN-22'!$A$1,MATCH(Sheet1!A47,'JAN-22'!$A:$A,0),0,22,1),{"DCPS","GROSS_ADJUST"},OFFSET('JAN-22'!$A$1,MATCH(Sheet1!A47,'JAN-22'!$A:$A,0),1,22,1))),0)</f>
        <v>0</v>
      </c>
      <c r="I61" s="16">
        <f t="array" aca="1" ref="I61" ca="1">+IFERROR(SUM(SUMIF(OFFSET('JAN-22'!$A$1,MATCH(Sheet1!A47,'JAN-22'!$A:$A,0),0,22,1),{"Basic*Arr*","7th Pay* Arr*"},OFFSET('JAN-22'!$A$1,MATCH(Sheet1!A47,'JAN-22'!$A:$A,0),1,22,1))),0)</f>
        <v>0</v>
      </c>
      <c r="J61" s="16">
        <f t="shared" ref="J61:J63" ca="1" si="12">SUM(C61:I61)</f>
        <v>0</v>
      </c>
      <c r="K61" s="16">
        <f ca="1">IFERROR(SUM(SUMIF(OFFSET('JAN-22'!$A$1,MATCH(Sheet1!A47,'JAN-22'!$A:$A,0),2,22,1),{"*Pro*ax*"},OFFSET('JAN-22'!$A$1,MATCH(Sheet1!A47,'JAN-22'!$A:$A,0),3,22,1))),0)</f>
        <v>0</v>
      </c>
      <c r="L61" s="16">
        <f ca="1">IFERROR(SUM(SUMIF(OFFSET('JAN-22'!$A$1,MATCH(Sheet1!A47,'JAN-22'!$A:$A,0),2,22,1),{"GPF_G*","DCPS"},OFFSET('JAN-22'!$A$1,MATCH(Sheet1!A47,'JAN-22'!$A:$A,0),3,22,1))),0)</f>
        <v>0</v>
      </c>
      <c r="M61" s="16">
        <f t="array" aca="1" ref="M61" ca="1">IFERROR(SUM(SUMIF(OFFSET('JAN-22'!$A$1,MATCH(Sheet1!A47,'JAN-22'!$A:$A,0),2,22,1),{"*GIS","GIS*R"},OFFSET('JAN-22'!$A$1,MATCH(Sheet1!A47,'JAN-22'!$A:$A,0),3,22,1))),0)</f>
        <v>0</v>
      </c>
      <c r="N61" s="16">
        <f ca="1">IFERROR(SUM(SUMIF(OFFSET('JAN-22'!$A$1,MATCH(Sheet1!A47,'JAN-22'!$A:$A,0),5,22,1),{"LI*1"},OFFSET('JAN-22'!$A$1,MATCH(Sheet1!A47,'JAN-22'!$A:$A,0),6,22,1))),0)</f>
        <v>0</v>
      </c>
      <c r="O61" s="16">
        <f t="array" aca="1" ref="O61" ca="1">IFERROR(SUM(SUMIF(OFFSET('JAN-22'!$A$1,MATCH(Sheet1!A47,'JAN-22'!$A:$A,0),2,22,1),{"HB*USE","HB*INT"},OFFSET('JAN-22'!$A$1,MATCH(Sheet1!A47,'JAN-22'!$A:$A,0),3,22,1))),0)</f>
        <v>0</v>
      </c>
      <c r="P61" s="16">
        <f t="array" aca="1" ref="P61" ca="1">IFERROR(SUM(SUMIF(OFFSET('JAN-22'!$A$1,MATCH(Sheet1!A47,'JAN-22'!$A:$A,0),5,22,1),{"OTHE*1","CO.*1","OTHE*2","WEL*ND","BAN*1","CLU*ND","RD*1","LI*2","MIS*US","*TAINAN*","MCA*INT*","MAIN*NANCE*","*C M Relief Fund*","Co. Op. Hsg Soc.*","GPF_ADV*","Co. Op. Cr. Soc. 2*","DCPS DA","DCPS Pay","MCA Int"},OFFSET('JAN-22'!$A$1,MATCH(Sheet1!A47,'JAN-22'!$A:$A,0),6,22,1)))+SUM(SUMIF(OFFSET('JAN-22'!$A$1,MATCH(Sheet1!A47,'JAN-22'!$A:$A,0),2,22,1),{"MCA","COM*DV*","HB*ND","CO*SOC","HRR","SRV*H","ACC*CY","F.A","STAMP_REVENUE","*C M Relief Fund*","GPF_ADV*","Co. Op. Cr. Soc. 2*","DCPS DA","DCPS Pay","MCA Int"},OFFSET('JAN-22'!$A$1,MATCH(Sheet1!A47,'JAN-22'!$A:$A,0),3,22,1))),0)</f>
        <v>0</v>
      </c>
      <c r="Q61" s="17">
        <f t="shared" ca="1" si="11"/>
        <v>0</v>
      </c>
      <c r="R61" s="17">
        <f t="array" aca="1" ref="R61" ca="1">IFERROR(SUM(SUMIF(OFFSET('JAN-22'!$A$1,MATCH(Sheet1!A47,'JAN-22'!$A:$A,0),2,22,1),{"*I. *ax*"},OFFSET('JAN-22'!$A$1,MATCH(Sheet1!A47,'JAN-22'!$A:$A,0),3,22,1))),0)</f>
        <v>0</v>
      </c>
      <c r="S61" s="46" t="str">
        <f t="array" aca="1" ref="S61" ca="1">+IFERROR(IF(OFFSET('JAN-22'!$B$1,MATCH(Sheet1!A47,'JAN-22'!B:B,0)-2,0,1,1)=Sheet1!J61,IF(MID(IFERROR(OFFSET('JAN-22'!$B$1,MATCH(Sheet1!A47,'JAN-22'!$B:$B,0)-1,-1,1,1),"GROSS ERROR"),11,FIND(" ",OFFSET('JAN-22'!$B$1,MATCH(Sheet1!A47,'JAN-22'!$B:$B,0)-1,-1,1,1),12)-11)-Q61=0,"","NET MISMATCH"),"GROSS MISMATCH"),"")</f>
        <v/>
      </c>
      <c r="T61" s="47"/>
      <c r="U61" s="49"/>
      <c r="V61" s="18"/>
      <c r="W61" s="7"/>
      <c r="X61" s="18"/>
      <c r="Y61" s="7"/>
      <c r="Z61" s="7"/>
      <c r="AC61" s="7"/>
      <c r="AD61" s="7"/>
      <c r="AE61" s="7"/>
      <c r="AF61" s="7"/>
      <c r="AG61" s="7"/>
      <c r="AH61" s="7"/>
      <c r="AI61" s="49"/>
      <c r="AJ61" s="49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64" t="str">
        <f>+G48</f>
        <v>PAN</v>
      </c>
      <c r="BI61" s="47" t="str">
        <f>+A47</f>
        <v/>
      </c>
      <c r="BJ61" s="18" t="str">
        <f t="array" aca="1" ref="BJ61" ca="1">IFERROR(OFFSET('JAN-22'!$B$1,MATCH(Sheet1!A47,'JAN-22'!$B:$B,0)+1,0,1,1),"")</f>
        <v/>
      </c>
      <c r="BK61" s="64">
        <f t="shared" ca="1" si="7"/>
        <v>0</v>
      </c>
      <c r="BL61" s="18">
        <f t="shared" ca="1" si="8"/>
        <v>0</v>
      </c>
      <c r="BM61" s="7" t="str">
        <f t="array" aca="1" ref="BM61" ca="1">IFERROR(OFFSET('JAN-22'!$A$1,MATCH(Sheet1!A47,'JAN-22'!$A:$A,0)-2,0,1,1),"")</f>
        <v/>
      </c>
      <c r="BN61" s="7"/>
      <c r="BO61" s="7"/>
    </row>
    <row r="62" spans="1:67" ht="15" customHeight="1" x14ac:dyDescent="0.25">
      <c r="A62" s="16">
        <v>12</v>
      </c>
      <c r="B62" s="15">
        <v>44593</v>
      </c>
      <c r="C62" s="16">
        <f ca="1">IFERROR(SUM(SUMIF(OFFSET('FEB-22'!$A$1,MATCH(Sheet1!A47,'FEB-22'!$A:$A,0),0,22,1),{"BA*C","BASIC??"},OFFSET('FEB-22'!$A$1,MATCH(Sheet1!A47,'FEB-22'!$A:$A,0),1,22,1))),0)</f>
        <v>0</v>
      </c>
      <c r="D62" s="16">
        <f ca="1">IFERROR(SUM(SUMIF(OFFSET('FEB-22'!$A$1,MATCH(Sheet1!A47,'FEB-22'!$A:$A,0),0,22,1),{"DA*C","D. *"},OFFSET('FEB-22'!$A$1,MATCH(Sheet1!A47,'FEB-22'!$A:$A,0),1,22,1))),0)</f>
        <v>0</v>
      </c>
      <c r="E62" s="16">
        <f ca="1">IFERROR(SUM(SUMIF(OFFSET('FEB-22'!$A$1,MATCH(Sheet1!A47,'FEB-22'!$A:$A,0),0,22,1),{"H. R. A."},OFFSET('FEB-22'!$A$1,MATCH(Sheet1!A47,'FEB-22'!$A:$A,0),1,22,1))),0)</f>
        <v>0</v>
      </c>
      <c r="F62" s="16">
        <f t="array" aca="1" ref="F62" ca="1">IFERROR(SUM(SUMIF(OFFSET('FEB-22'!$A$1,MATCH(Sheet1!A47,'FEB-22'!$A:$A,0),0,22,1),{"SP*AY*","S D A*","O.A.*","CLA (5th Pay)*","REF. Allow*","Trans.Allw.*","LF*","P. O.*","ARM*","Conv.A*","Otr.Allow*","Trans_Arrear*","BMIA*","Incentives*","Fit Allow*","KMA","NON-*","U.*","ME*A","PG*","Per.Tra"},OFFSET('FEB-22'!$A$1,MATCH(Sheet1!A47,'FEB-22'!$A:$A,0),1,22,1))),0)</f>
        <v>0</v>
      </c>
      <c r="G62" s="16">
        <f ca="1">IFERROR(SUM(SUMIF(OFFSET('FEB-22'!$A$1,MATCH(Sheet1!A47,'FEB-22'!$A:$A,0),0,22,1),{"WA"},OFFSET('FEB-22'!$A$1,MATCH(Sheet1!A47,'FEB-22'!$A:$A,0),1,22,1))),0)</f>
        <v>0</v>
      </c>
      <c r="H62" s="16">
        <f ca="1">IFERROR(SUM(SUMIF(OFFSET('FEB-22'!$A$1,MATCH(Sheet1!A47,'FEB-22'!$A:$A,0),0,22,1),{"DCPS","GROSS_ADJUST"},OFFSET('FEB-22'!$A$1,MATCH(Sheet1!A47,'FEB-22'!$A:$A,0),1,22,1))),0)</f>
        <v>0</v>
      </c>
      <c r="I62" s="16">
        <f t="array" aca="1" ref="I62" ca="1">+IFERROR(SUM(SUMIF(OFFSET('FEB-22'!$A$1,MATCH(Sheet1!A47,'FEB-22'!$A:$A,0),0,22,1),{"Basic*Arr*","7th Pay* Arr*"},OFFSET('FEB-22'!$A$1,MATCH(Sheet1!A47,'FEB-22'!$A:$A,0),1,22,1))),0)</f>
        <v>0</v>
      </c>
      <c r="J62" s="16">
        <f t="shared" ca="1" si="12"/>
        <v>0</v>
      </c>
      <c r="K62" s="16">
        <f ca="1">IFERROR(SUM(SUMIF(OFFSET('FEB-22'!$A$1,MATCH(Sheet1!A47,'FEB-22'!$A:$A,0),2,22,1),{"*Pro*ax*"},OFFSET('FEB-22'!$A$1,MATCH(Sheet1!A47,'FEB-22'!$A:$A,0),3,22,1))),0)</f>
        <v>0</v>
      </c>
      <c r="L62" s="16">
        <f ca="1">IFERROR(SUM(SUMIF(OFFSET('FEB-22'!$A$1,MATCH(Sheet1!A47,'FEB-22'!$A:$A,0),2,22,1),{"GPF_G*","DCPS"},OFFSET('FEB-22'!$A$1,MATCH(Sheet1!A47,'FEB-22'!$A:$A,0),3,22,1))),0)</f>
        <v>0</v>
      </c>
      <c r="M62" s="16">
        <f t="array" aca="1" ref="M62" ca="1">IFERROR(SUM(SUMIF(OFFSET('FEB-22'!$A$1,MATCH(Sheet1!A47,'FEB-22'!$A:$A,0),2,22,1),{"*GIS","GIS*R"},OFFSET('FEB-22'!$A$1,MATCH(Sheet1!A47,'FEB-22'!$A:$A,0),3,22,1))),0)</f>
        <v>0</v>
      </c>
      <c r="N62" s="16">
        <f ca="1">IFERROR(SUM(SUMIF(OFFSET('FEB-22'!$A$1,MATCH(Sheet1!A47,'FEB-22'!$A:$A,0),5,22,1),{"LI*1"},OFFSET('FEB-22'!$A$1,MATCH(Sheet1!A47,'FEB-22'!$A:$A,0),6,22,1))),0)</f>
        <v>0</v>
      </c>
      <c r="O62" s="16">
        <f t="array" aca="1" ref="O62" ca="1">IFERROR(SUM(SUMIF(OFFSET('FEB-22'!$A$1,MATCH(Sheet1!A47,'FEB-22'!$A:$A,0),2,22,1),{"HB*USE","HB*INT"},OFFSET('FEB-22'!$A$1,MATCH(Sheet1!A47,'FEB-22'!$A:$A,0),3,22,1))),0)</f>
        <v>0</v>
      </c>
      <c r="P62" s="16">
        <f t="array" aca="1" ref="P62" ca="1">IFERROR(SUM(SUMIF(OFFSET('FEB-22'!$A$1,MATCH(Sheet1!A47,'FEB-22'!$A:$A,0),5,22,1),{"OTHE*1","CO.*1","OTHE*2","WEL*ND","BAN*1","CLU*ND","RD*1","LI*2","MIS*US","*TAINAN*","MCA*INT*","MAIN*NANCE*","*C M Relief Fund*","Co. Op. Hsg Soc.*","GPF_ADV*","Co. Op. Cr. Soc. 2*","DCPS DA","DCPS Pay","MCA Int"},OFFSET('FEB-22'!$A$1,MATCH(Sheet1!A47,'FEB-22'!$A:$A,0),6,22,1)))+SUM(SUMIF(OFFSET('FEB-22'!$A$1,MATCH(Sheet1!A47,'FEB-22'!$A:$A,0),2,22,1),{"MCA","COM*DV*","HB*ND","CO*SOC","HRR","SRV*H","ACC*CY","F.A","STAMP_REVENUE","*C M Relief Fund*","GPF_ADV*","Co. Op. Cr. Soc. 2*","DCPS DA","DCPS Pay","MCA Int"},OFFSET('FEB-22'!$A$1,MATCH(Sheet1!A47,'FEB-22'!$A:$A,0),3,22,1))),0)</f>
        <v>0</v>
      </c>
      <c r="Q62" s="17">
        <f t="shared" ca="1" si="11"/>
        <v>0</v>
      </c>
      <c r="R62" s="17">
        <f t="array" aca="1" ref="R62" ca="1">IFERROR(SUM(SUMIF(OFFSET('FEB-22'!$A$1,MATCH(Sheet1!A47,'FEB-22'!$A:$A,0),2,22,1),{"*I. *ax*"},OFFSET('FEB-22'!$A$1,MATCH(Sheet1!A47,'FEB-22'!$A:$A,0),3,22,1))),0)</f>
        <v>0</v>
      </c>
      <c r="S62" s="46" t="str">
        <f t="array" aca="1" ref="S62" ca="1">+IFERROR(IF(OFFSET('FEB-22'!$B$1,MATCH(Sheet1!A47,'FEB-22'!B:B,0)-2,0,1,1)=Sheet1!J62,IF(MID(IFERROR(OFFSET('FEB-22'!$B$1,MATCH(Sheet1!A47,'FEB-22'!$B:$B,0)-1,-1,1,1),"GROSS ERROR"),11,FIND(" ",OFFSET('FEB-22'!$B$1,MATCH(Sheet1!A47,'FEB-22'!$B:$B,0)-1,-1,1,1),12)-11)-Q62=0,"","NET MISMATCH"),"GROSS MISMATCH"),"")</f>
        <v/>
      </c>
      <c r="T62" s="47"/>
      <c r="U62" s="48"/>
      <c r="V62" s="18"/>
      <c r="W62" s="7"/>
      <c r="X62" s="18"/>
      <c r="Y62" s="4"/>
      <c r="Z62" s="4"/>
      <c r="AC62" s="4"/>
      <c r="AD62" s="4"/>
      <c r="AE62" s="4"/>
      <c r="AF62" s="4"/>
      <c r="AG62" s="4"/>
      <c r="AH62" s="4"/>
      <c r="AI62" s="48"/>
      <c r="AJ62" s="48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64" t="str">
        <f>+G48</f>
        <v>PAN</v>
      </c>
      <c r="BI62" s="47" t="str">
        <f>+A47</f>
        <v/>
      </c>
      <c r="BJ62" s="18" t="str">
        <f t="array" aca="1" ref="BJ62" ca="1">IFERROR(OFFSET('FEB-22'!$B$1,MATCH(Sheet1!A47,'FEB-22'!$B:$B,0)+1,0,1,1),"")</f>
        <v/>
      </c>
      <c r="BK62" s="64">
        <f t="shared" ca="1" si="7"/>
        <v>0</v>
      </c>
      <c r="BL62" s="18">
        <f t="shared" ca="1" si="8"/>
        <v>0</v>
      </c>
      <c r="BM62" s="7" t="str">
        <f t="array" aca="1" ref="BM62" ca="1">IFERROR(OFFSET('FEB-22'!$A$1,MATCH(Sheet1!A47,'FEB-22'!$A:$A,0)-2,0,1,1),"")</f>
        <v/>
      </c>
      <c r="BN62" s="4"/>
      <c r="BO62" s="4"/>
    </row>
    <row r="63" spans="1:67" ht="15" customHeight="1" x14ac:dyDescent="0.25">
      <c r="A63" s="14">
        <v>13</v>
      </c>
      <c r="B63" s="23" t="s">
        <v>119</v>
      </c>
      <c r="C63" s="16">
        <f ca="1">IFERROR(SUM(SUMIF(OFFSET(SUPP!$A$1,MATCH(Sheet1!A47,SUPP!$A:$A,0),0,22,1),{"BA*C","BASIC??"},OFFSET(SUPP!$A$1,MATCH(Sheet1!A47,SUPP!$A:$A,0),1,22,1))),0)</f>
        <v>0</v>
      </c>
      <c r="D63" s="16">
        <f ca="1">IFERROR(SUM(SUMIF(OFFSET(SUPP!$A$1,MATCH(Sheet1!A47,SUPP!$A:$A,0),0,22,1),{"DA*C","D. *"},OFFSET(SUPP!$A$1,MATCH(Sheet1!A47,SUPP!$A:$A,0),1,22,1))),0)</f>
        <v>0</v>
      </c>
      <c r="E63" s="16">
        <f ca="1">IFERROR(SUM(SUMIF(OFFSET(SUPP!$A$1,MATCH(Sheet1!A47,SUPP!$A:$A,0),0,22,1),{"H. R. A."},OFFSET(SUPP!$A$1,MATCH(Sheet1!A47,SUPP!$A:$A,0),1,22,1))),0)</f>
        <v>0</v>
      </c>
      <c r="F63" s="16">
        <f t="array" aca="1" ref="F63" ca="1">IFERROR(SUM(SUMIF(OFFSET(SUPP!$A$1,MATCH(Sheet1!A47,SUPP!$A:$A,0),0,22,1),{"SP*AY*","S D A*","O.A.*","CLA (5th Pay)*","REF. Allow*","Trans.Allw.*","LF*","P. O.*","ARM*","Conv.A*","Otr.Allow*","Trans_Arrear*","BMIA*","Incentives*","Fit Allow*","KMA","NON-*","U.*","ME*A","PG*","Per.Tra"},OFFSET(SUPP!$A$1,MATCH(Sheet1!A47,SUPP!$A:$A,0),1,22,1))),0)</f>
        <v>0</v>
      </c>
      <c r="G63" s="16">
        <f ca="1">IFERROR(SUM(SUMIF(OFFSET(SUPP!$A$1,MATCH(Sheet1!A47,SUPP!$A:$A,0),0,22,1),{"WA"},OFFSET(SUPP!$A$1,MATCH(Sheet1!A47,SUPP!$A:$A,0),1,22,1))),0)</f>
        <v>0</v>
      </c>
      <c r="H63" s="16">
        <f ca="1">IFERROR(SUM(SUMIF(OFFSET(SUPP!$A$1,MATCH(Sheet1!A47,SUPP!$A:$A,0),0,22,1),{"DCPS","GROSS_ADJUST"},OFFSET(SUPP!$A$1,MATCH(Sheet1!A47,SUPP!$A:$A,0),1,22,1))),0)</f>
        <v>0</v>
      </c>
      <c r="I63" s="16">
        <f t="array" aca="1" ref="I63" ca="1">+IFERROR(SUM(SUMIF(OFFSET(SUPP!$A$1,MATCH(Sheet1!A47,SUPP!$A:$A,0),0,22,1),{"Basic*Arr*","7th Pay* Arr*"},OFFSET(SUPP!$A$1,MATCH(Sheet1!A47,SUPP!$A:$A,0),1,22,1))),0)</f>
        <v>0</v>
      </c>
      <c r="J63" s="16">
        <f t="shared" ca="1" si="12"/>
        <v>0</v>
      </c>
      <c r="K63" s="16">
        <f ca="1">IFERROR(SUM(SUMIF(OFFSET(SUPP!$A$1,MATCH(Sheet1!A47,SUPP!$A:$A,0),2,22,1),{"*Pro*ax*"},OFFSET(SUPP!$A$1,MATCH(Sheet1!A47,SUPP!$A:$A,0),3,22,1))),0)</f>
        <v>0</v>
      </c>
      <c r="L63" s="16">
        <f ca="1">IFERROR(SUM(SUMIF(OFFSET(SUPP!$A$1,MATCH(Sheet1!A47,SUPP!$A:$A,0),2,22,1),{"GPF_G*","DCPS"},OFFSET(SUPP!$A$1,MATCH(Sheet1!A47,SUPP!$A:$A,0),3,22,1))),0)</f>
        <v>0</v>
      </c>
      <c r="M63" s="16">
        <f t="array" aca="1" ref="M63" ca="1">IFERROR(SUM(SUMIF(OFFSET(SUPP!$A$1,MATCH(Sheet1!A47,SUPP!$A:$A,0),2,22,1),{"*GIS","GIS*R"},OFFSET(SUPP!$A$1,MATCH(Sheet1!A47,SUPP!$A:$A,0),3,22,1))),0)</f>
        <v>0</v>
      </c>
      <c r="N63" s="16">
        <f ca="1">IFERROR(SUM(SUMIF(OFFSET(SUPP!$A$1,MATCH(Sheet1!A47,SUPP!$A:$A,0),5,22,1),{"LI*1"},OFFSET(SUPP!$A$1,MATCH(Sheet1!A47,SUPP!$A:$A,0),6,22,1))),0)</f>
        <v>0</v>
      </c>
      <c r="O63" s="16">
        <f t="array" aca="1" ref="O63" ca="1">IFERROR(SUM(SUMIF(OFFSET(SUPP!$A$1,MATCH(Sheet1!A47,SUPP!$A:$A,0),2,22,1),{"HB*USE","HB*INT"},OFFSET(SUPP!$A$1,MATCH(Sheet1!A47,SUPP!$A:$A,0),3,22,1))),0)</f>
        <v>0</v>
      </c>
      <c r="P63" s="16">
        <f t="array" aca="1" ref="P63" ca="1">IFERROR(SUM(SUMIF(OFFSET(SUPP!$A$1,MATCH(Sheet1!A47,SUPP!$A:$A,0),5,22,1),{"OTHE*1","CO.*1","OTHE*2","WEL*ND","BAN*1","CLU*ND","RD*1","LI*2","MIS*US","*TAINAN*","MCA*INT*","MAIN*NANCE*","*C M Relief Fund*","Co. Op. Hsg Soc.*","GPF_ADV*","Co. Op. Cr. Soc. 2*","DCPS DA","DCPS Pay","MCA Int"},OFFSET(SUPP!$A$1,MATCH(Sheet1!A47,SUPP!$A:$A,0),6,22,1)))+SUM(SUMIF(OFFSET(SUPP!$A$1,MATCH(Sheet1!A47,SUPP!$A:$A,0),2,22,1),{"MCA","COM*DV*","HB*ND","CO*SOC","HRR","SRV*H","ACC*CY","F.A","STAMP_REVENUE","*C M Relief Fund*","GPF_ADV*","Co. Op. Cr. Soc. 2*","DCPS DA","DCPS Pay","MCA Int"},OFFSET(SUPP!$A$1,MATCH(Sheet1!A47,SUPP!$A:$A,0),3,22,1))),0)</f>
        <v>0</v>
      </c>
      <c r="Q63" s="17">
        <f t="shared" ca="1" si="11"/>
        <v>0</v>
      </c>
      <c r="R63" s="17">
        <f t="array" aca="1" ref="R63" ca="1">IFERROR(SUM(SUMIF(OFFSET(SUPP!$A$1,MATCH(Sheet1!A47,SUPP!$A:$A,0),2,22,1),{"*I. *ax*"},OFFSET(SUPP!$A$1,MATCH(Sheet1!A47,SUPP!$A:$A,0),3,22,1))),0)</f>
        <v>0</v>
      </c>
      <c r="S63" s="46" t="str">
        <f t="array" aca="1" ref="S63" ca="1">+IFERROR(IF(OFFSET(SUPP!$B$1,MATCH(Sheet1!A47,SUPP!B:B,0)-2,0,1,1)=Sheet1!J63,IF(MID(IFERROR(OFFSET(SUPP!$B$1,MATCH(Sheet1!A47,SUPP!$B:$B,0)-1,-1,1,1),"GROSS ERROR"),11,FIND(" ",OFFSET(SUPP!$B$1,MATCH(Sheet1!A47,SUPP!$B:$B,0)-1,-1,1,1),12)-11)-Q63=0,"","NET MISMATCH"),"GROSS MISMATCH"),"")</f>
        <v/>
      </c>
      <c r="T63" s="24"/>
      <c r="U63" s="49"/>
      <c r="V63" s="7"/>
      <c r="W63" s="7"/>
      <c r="X63" s="7"/>
      <c r="Y63" s="7"/>
      <c r="Z63" s="7"/>
      <c r="AC63" s="7"/>
      <c r="AD63" s="7"/>
      <c r="AE63" s="7"/>
      <c r="AF63" s="7"/>
      <c r="AG63" s="7"/>
      <c r="AH63" s="7"/>
      <c r="AI63" s="49"/>
      <c r="AJ63" s="49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64" t="str">
        <f>+G48</f>
        <v>PAN</v>
      </c>
      <c r="BI63" s="47" t="str">
        <f>+A47</f>
        <v/>
      </c>
      <c r="BJ63" s="18" t="str">
        <f t="array" aca="1" ref="BJ63" ca="1">IFERROR(OFFSET(SUPP!$B$1,MATCH(Sheet1!A47,SUPP!$B:$B,0)+1,0,1,1),"")</f>
        <v/>
      </c>
      <c r="BK63" s="7">
        <f t="shared" ca="1" si="7"/>
        <v>0</v>
      </c>
      <c r="BL63" s="18">
        <f t="shared" ca="1" si="8"/>
        <v>0</v>
      </c>
      <c r="BM63" s="7" t="str">
        <f ca="1">IFERROR(OFFSET(SUPP!$A$1,MATCH(Sheet1!A47,SUPP!$A:$A,0)-2,0,1,1),"")</f>
        <v/>
      </c>
      <c r="BN63" s="7"/>
      <c r="BO63" s="7"/>
    </row>
    <row r="64" spans="1:67" ht="15" customHeight="1" x14ac:dyDescent="0.25">
      <c r="A64" s="14">
        <v>14</v>
      </c>
      <c r="B64" s="23" t="s">
        <v>20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f ca="1">IFERROR(SUM(SUMIF(OFFSET('AUG-21'!$A$1,MATCH(Sheet1!A55,'AUG-21'!$A:$A,0),0,22,1),{"Arr*","7th Pay* Arr*","Basic Arr."},OFFSET('AUG-21'!$A$1,MATCH(Sheet1!A55,'AUG-21'!$A:$A,0),1,22,1))),0)</f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7">
        <f t="shared" ref="Q64:Q65" si="13">+J64-H64-K64-L64-M64-N64-O64-P64-P84</f>
        <v>0</v>
      </c>
      <c r="R64" s="17">
        <v>0</v>
      </c>
      <c r="S64" s="7"/>
      <c r="T64" s="24"/>
      <c r="U64" s="49"/>
      <c r="V64" s="7"/>
      <c r="W64" s="7"/>
      <c r="X64" s="7"/>
      <c r="Y64" s="7"/>
      <c r="Z64" s="7"/>
      <c r="AC64" s="7"/>
      <c r="AD64" s="7"/>
      <c r="AE64" s="7"/>
      <c r="AF64" s="7"/>
      <c r="AG64" s="7"/>
      <c r="AH64" s="7"/>
      <c r="AI64" s="49"/>
      <c r="AJ64" s="49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</row>
    <row r="65" spans="1:67" ht="15" customHeight="1" x14ac:dyDescent="0.25">
      <c r="A65" s="14"/>
      <c r="B65" s="15"/>
      <c r="C65" s="15"/>
      <c r="D65" s="15"/>
      <c r="E65" s="15"/>
      <c r="F65" s="15"/>
      <c r="G65" s="15"/>
      <c r="H65" s="15"/>
      <c r="I65" s="15"/>
      <c r="J65" s="16"/>
      <c r="K65" s="16"/>
      <c r="L65" s="16"/>
      <c r="M65" s="16"/>
      <c r="N65" s="16">
        <v>0</v>
      </c>
      <c r="O65" s="16">
        <v>0</v>
      </c>
      <c r="P65" s="16">
        <v>0</v>
      </c>
      <c r="Q65" s="17">
        <f t="shared" si="13"/>
        <v>0</v>
      </c>
      <c r="R65" s="16">
        <v>0</v>
      </c>
      <c r="S65" s="7"/>
      <c r="T65" s="24"/>
      <c r="U65" s="49"/>
      <c r="V65" s="7"/>
      <c r="W65" s="7"/>
      <c r="X65" s="7"/>
      <c r="Y65" s="7"/>
      <c r="Z65" s="7"/>
      <c r="AC65" s="7"/>
      <c r="AD65" s="7"/>
      <c r="AE65" s="7"/>
      <c r="AF65" s="7"/>
      <c r="AG65" s="7"/>
      <c r="AH65" s="7"/>
      <c r="AI65" s="49"/>
      <c r="AJ65" s="49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</row>
    <row r="66" spans="1:67" ht="15" customHeight="1" x14ac:dyDescent="0.25">
      <c r="A66" s="25"/>
      <c r="B66" s="26" t="s">
        <v>21</v>
      </c>
      <c r="C66" s="26">
        <f t="shared" ref="C66:G66" ca="1" si="14">SUM(C51:C65)</f>
        <v>0</v>
      </c>
      <c r="D66" s="26">
        <f t="shared" ca="1" si="14"/>
        <v>0</v>
      </c>
      <c r="E66" s="26">
        <f t="shared" ca="1" si="14"/>
        <v>0</v>
      </c>
      <c r="F66" s="26">
        <f t="shared" ca="1" si="14"/>
        <v>0</v>
      </c>
      <c r="G66" s="26">
        <f t="shared" ca="1" si="14"/>
        <v>0</v>
      </c>
      <c r="H66" s="26">
        <f ca="1">SUM(H51:H65)</f>
        <v>0</v>
      </c>
      <c r="I66" s="26">
        <f t="shared" ref="I66:R66" ca="1" si="15">SUM(I51:I65)</f>
        <v>0</v>
      </c>
      <c r="J66" s="26">
        <f t="shared" ca="1" si="15"/>
        <v>0</v>
      </c>
      <c r="K66" s="26">
        <f t="shared" ca="1" si="15"/>
        <v>0</v>
      </c>
      <c r="L66" s="26">
        <f t="shared" ca="1" si="15"/>
        <v>0</v>
      </c>
      <c r="M66" s="26">
        <f t="shared" ca="1" si="15"/>
        <v>0</v>
      </c>
      <c r="N66" s="26">
        <f t="shared" ca="1" si="15"/>
        <v>0</v>
      </c>
      <c r="O66" s="26">
        <f t="shared" ca="1" si="15"/>
        <v>0</v>
      </c>
      <c r="P66" s="26">
        <f t="shared" ca="1" si="15"/>
        <v>0</v>
      </c>
      <c r="Q66" s="26">
        <f t="shared" ca="1" si="15"/>
        <v>0</v>
      </c>
      <c r="R66" s="26">
        <f t="shared" ca="1" si="15"/>
        <v>0</v>
      </c>
      <c r="S66" s="7"/>
      <c r="T66" s="5"/>
      <c r="U66" s="49"/>
      <c r="V66" s="7"/>
      <c r="W66" s="7"/>
      <c r="X66" s="7"/>
      <c r="Y66" s="7"/>
      <c r="Z66" s="7"/>
      <c r="AC66" s="7"/>
      <c r="AD66" s="7"/>
      <c r="AE66" s="7"/>
      <c r="AF66" s="7"/>
      <c r="AG66" s="7"/>
      <c r="AH66" s="7"/>
      <c r="AI66" s="49"/>
      <c r="AJ66" s="49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</row>
    <row r="67" spans="1:67" ht="15" customHeight="1" x14ac:dyDescent="0.25">
      <c r="A67" s="7"/>
      <c r="B67" s="27" t="s">
        <v>22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7"/>
      <c r="P67" s="7"/>
      <c r="Q67" s="7"/>
      <c r="R67" s="7"/>
      <c r="S67" s="7"/>
      <c r="T67" s="7"/>
      <c r="U67" s="49"/>
      <c r="V67" s="7"/>
      <c r="W67" s="7"/>
      <c r="X67" s="7"/>
      <c r="Y67" s="7"/>
      <c r="Z67" s="7"/>
      <c r="AC67" s="7"/>
      <c r="AD67" s="7"/>
      <c r="AE67" s="7"/>
      <c r="AF67" s="7"/>
      <c r="AG67" s="7"/>
      <c r="AH67" s="7"/>
      <c r="AI67" s="49"/>
      <c r="AJ67" s="49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</row>
    <row r="68" spans="1:67" ht="15" customHeight="1" x14ac:dyDescent="0.25">
      <c r="A68" s="7"/>
      <c r="B68" s="29" t="s">
        <v>23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7"/>
      <c r="P68" s="7"/>
      <c r="Q68" s="7"/>
      <c r="R68" s="7"/>
      <c r="S68" s="7"/>
      <c r="T68" s="7"/>
      <c r="U68" s="49"/>
      <c r="V68" s="7"/>
      <c r="W68" s="7"/>
      <c r="X68" s="7"/>
      <c r="Y68" s="7"/>
      <c r="Z68" s="7"/>
      <c r="AC68" s="7"/>
      <c r="AD68" s="7"/>
      <c r="AE68" s="7"/>
      <c r="AF68" s="7"/>
      <c r="AG68" s="7"/>
      <c r="AH68" s="7"/>
      <c r="AI68" s="49"/>
      <c r="AJ68" s="49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</row>
    <row r="69" spans="1:67" ht="15" customHeight="1" x14ac:dyDescent="0.25">
      <c r="A69" s="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7"/>
      <c r="P69" s="7"/>
      <c r="Q69" s="7"/>
      <c r="R69" s="7"/>
      <c r="S69" s="7"/>
      <c r="T69" s="7"/>
      <c r="U69" s="49"/>
      <c r="V69" s="7"/>
      <c r="W69" s="7"/>
      <c r="X69" s="7"/>
      <c r="Y69" s="7"/>
      <c r="Z69" s="7"/>
      <c r="AC69" s="7"/>
      <c r="AD69" s="7"/>
      <c r="AE69" s="7"/>
      <c r="AF69" s="7"/>
      <c r="AG69" s="7"/>
      <c r="AH69" s="7"/>
      <c r="AI69" s="49"/>
      <c r="AJ69" s="49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</row>
    <row r="70" spans="1:67" ht="15" customHeight="1" x14ac:dyDescent="0.25">
      <c r="A70" s="7"/>
      <c r="B70" s="30" t="s">
        <v>24</v>
      </c>
      <c r="C70" s="7"/>
      <c r="D70" s="7">
        <f ca="1">+J66</f>
        <v>0</v>
      </c>
      <c r="E70" s="7"/>
      <c r="F70" s="7"/>
      <c r="G70" s="30" t="s">
        <v>25</v>
      </c>
      <c r="H70" s="30"/>
      <c r="I70" s="30"/>
      <c r="J70" s="30"/>
      <c r="K70" s="7" t="s">
        <v>26</v>
      </c>
      <c r="L70" s="7"/>
      <c r="M70" s="7">
        <f ca="1">+D81-H83-H92</f>
        <v>-50000</v>
      </c>
      <c r="N70" s="7"/>
      <c r="O70" s="20"/>
      <c r="P70" s="31"/>
      <c r="Q70" s="22"/>
      <c r="R70" s="22"/>
      <c r="S70" s="22"/>
      <c r="T70" s="22"/>
      <c r="U70" s="7" t="str">
        <f t="array" ref="U70">+UPPER(G48)</f>
        <v>PAN</v>
      </c>
      <c r="V70" s="7"/>
      <c r="W70" s="7"/>
      <c r="X70" s="7"/>
      <c r="Y70" s="7"/>
      <c r="Z70" s="7"/>
      <c r="AB70" s="7" t="str">
        <f>+UPPER(A47)</f>
        <v/>
      </c>
      <c r="AC70" s="18">
        <f ca="1">+M79-M81</f>
        <v>0</v>
      </c>
      <c r="AD70" s="18">
        <f ca="1">+R66</f>
        <v>0</v>
      </c>
      <c r="AE70" s="7"/>
      <c r="AF70" s="7"/>
      <c r="AG70" s="7"/>
      <c r="AH70" s="7"/>
      <c r="AI70" s="49"/>
      <c r="AJ70" s="49"/>
      <c r="AK70" s="7"/>
      <c r="AL70" s="7"/>
      <c r="AM70" s="7"/>
      <c r="AN70" s="7"/>
      <c r="AO70" s="7"/>
      <c r="AP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</row>
    <row r="71" spans="1:67" ht="15" customHeight="1" x14ac:dyDescent="0.25">
      <c r="A71" s="7"/>
      <c r="B71" s="30" t="s">
        <v>27</v>
      </c>
      <c r="C71" s="7"/>
      <c r="D71" s="7"/>
      <c r="E71" s="7"/>
      <c r="F71" s="32" t="s">
        <v>28</v>
      </c>
      <c r="G71" s="7" t="s">
        <v>13</v>
      </c>
      <c r="H71" s="7">
        <f ca="1">+IF(H66&gt;0,L66-H86,L66)</f>
        <v>0</v>
      </c>
      <c r="I71" s="7"/>
      <c r="J71" s="7"/>
      <c r="K71" s="7" t="s">
        <v>29</v>
      </c>
      <c r="L71" s="7"/>
      <c r="M71" s="33">
        <f ca="1">IF(AND(N49="M",M70&lt;=250000),0,IF(AND(N49="F",M70&lt;=250000),0,IF(AND(N49="M",M70&lt;=500000),ROUND((M70-250000)*5%,0),IF(AND(N49="F",M70&lt;=500000),ROUND((M70-250000)*5%,0),IF(AND(N49="M",M70&lt;=1000000),12500+ROUND((M70-500000)*20%,0),IF(AND(N49="F",M70&lt;=1000000),12500+ROUND((M70-500000)*20%,0),IF(AND(N49="M",M70&gt;=1000000),112500+ROUND((M70-1000000)*30%,0),112500+ROUND((M70-1000000)*30%,0))))))))</f>
        <v>0</v>
      </c>
      <c r="N71" s="7"/>
      <c r="O71" s="34"/>
      <c r="P71" s="18"/>
      <c r="Q71" s="18"/>
      <c r="R71" s="18"/>
      <c r="S71" s="18"/>
      <c r="T71" s="18"/>
      <c r="U71" s="49"/>
      <c r="V71" s="7"/>
      <c r="W71" s="7"/>
      <c r="X71" s="7"/>
      <c r="Y71" s="7"/>
      <c r="Z71" s="7"/>
      <c r="AC71" s="7"/>
      <c r="AD71" s="7"/>
      <c r="AE71" s="7"/>
      <c r="AF71" s="7"/>
      <c r="AG71" s="7"/>
      <c r="AH71" s="7"/>
      <c r="AI71" s="49"/>
      <c r="AJ71" s="49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</row>
    <row r="72" spans="1:67" ht="15" customHeight="1" x14ac:dyDescent="0.25">
      <c r="A72" s="7"/>
      <c r="B72" s="7" t="s">
        <v>30</v>
      </c>
      <c r="C72" s="7"/>
      <c r="D72" s="7">
        <v>50000</v>
      </c>
      <c r="E72" s="7"/>
      <c r="F72" s="32" t="s">
        <v>31</v>
      </c>
      <c r="G72" s="7" t="s">
        <v>14</v>
      </c>
      <c r="H72" s="7">
        <f ca="1">+M66</f>
        <v>0</v>
      </c>
      <c r="I72" s="7"/>
      <c r="J72" s="7"/>
      <c r="K72" s="7" t="s">
        <v>32</v>
      </c>
      <c r="L72" s="7"/>
      <c r="M72" s="33">
        <f ca="1">+IF(AND(B67="GN",(D70-H87)&lt;=250000,B68="OLD"),0,IF(AND(B67="SC",(D70-H87)&lt;=300000,B68="OLD"),0,IF(AND(B67="SSC",(D70-H87)&lt;=500000,B68="OLD"),0,IF(AND(B67="GN",B68="OLD",(D70-H87)&lt;=500000),ROUND(((D70-H87)-250000)*5%,0),IF(AND(B68="OLD",B67="SC",(D70-H87)&lt;=500000),ROUND(((D70-H87)-300000)*5%,0),IF(AND(B68="OLD",(D70-H87)&lt;=1000000,B67="GN"),ROUND(((D70-H87)-500000)*20%+(12500),0),IF(AND(B67="SC",B68="OLD",(D70-H87)&lt;=1000000),ROUND(((D70-H87)-500000)*20%+(10000),0),IF(AND(B67="SSC",B68="OLD",(D70-H87)&lt;=1000000),ROUND(((D70-H87)-500000)*20%,0),IF(AND(B68="OLD",B67="GN",(D70-H87)&gt;1000000),ROUND(((D70-H87)-1000000)*30%+(112500),0),IF(AND(B68="OLD",B67="SC",(D70-H87)&gt;1000000),ROUND(((D70-H87)-1000000)*30%+(110000),0),IF(AND(B67="SSC",B68="OLD",(D70-H87)&gt;1000000),ROUND(((D70-H87)-1000000)*30%+(100000),0),IF(AND(B68="NEW",(D70-H87)&lt;=250000),0,IF(AND(B68="NEW",(D70-H87)&lt;=500000),ROUND(((D70-H87)-250000)*5%,0),IF(AND(B68="NEW",(D70-H87)&lt;=750000),ROUND(((D70-H87)-500000)*10%+(12500),0),IF(AND(B68="NEW",(D70-H87)&lt;=1000000),ROUND(((D70-H87)-750000)*15%+(37500),0),IF(AND(B68="NEW",(D70-H87)&lt;=1250000),ROUND(((D70-H87)-1000000)*20%+(75000),0),IF(AND(B68="NEW",(D70-H87)&lt;=1500000),ROUND(((D70-H87)-1250000)*25%+(125000),0),IF(AND(B68="NEW",(D70-H87)&gt;1500000),ROUND(((D70-H87)-1500000)*30%+(187500),0)))))))))))))))))))</f>
        <v>0</v>
      </c>
      <c r="N72" s="7"/>
      <c r="O72" s="34"/>
      <c r="P72" s="18"/>
      <c r="Q72" s="7"/>
      <c r="R72" s="7"/>
      <c r="S72" s="7"/>
      <c r="T72" s="7"/>
      <c r="U72" s="49"/>
      <c r="V72" s="7"/>
      <c r="W72" s="7"/>
      <c r="X72" s="7"/>
      <c r="Y72" s="7"/>
      <c r="Z72" s="7"/>
      <c r="AC72" s="7"/>
      <c r="AD72" s="7"/>
      <c r="AE72" s="7"/>
      <c r="AF72" s="7"/>
      <c r="AG72" s="7"/>
      <c r="AH72" s="7"/>
      <c r="AI72" s="49"/>
      <c r="AJ72" s="49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</row>
    <row r="73" spans="1:67" ht="15" customHeight="1" x14ac:dyDescent="0.25">
      <c r="A73" s="7"/>
      <c r="B73" s="7" t="s">
        <v>8</v>
      </c>
      <c r="C73" s="7"/>
      <c r="D73" s="7">
        <f ca="1">+G66</f>
        <v>0</v>
      </c>
      <c r="E73" s="7"/>
      <c r="F73" s="32" t="s">
        <v>33</v>
      </c>
      <c r="G73" s="7" t="s">
        <v>34</v>
      </c>
      <c r="H73" s="7">
        <f ca="1">+N66</f>
        <v>0</v>
      </c>
      <c r="I73" s="7"/>
      <c r="J73" s="7"/>
      <c r="K73" s="7"/>
      <c r="L73" s="7"/>
      <c r="M73" s="7"/>
      <c r="N73" s="7"/>
      <c r="O73" s="34"/>
      <c r="P73" s="18"/>
      <c r="Q73" s="7"/>
      <c r="R73" s="7"/>
      <c r="S73" s="7"/>
      <c r="T73" s="7"/>
      <c r="U73" s="49"/>
      <c r="V73" s="7"/>
      <c r="W73" s="7"/>
      <c r="X73" s="7"/>
      <c r="Y73" s="7"/>
      <c r="Z73" s="7"/>
      <c r="AC73" s="7"/>
      <c r="AD73" s="7"/>
      <c r="AE73" s="7"/>
      <c r="AF73" s="7"/>
      <c r="AG73" s="7"/>
      <c r="AH73" s="7"/>
      <c r="AI73" s="49"/>
      <c r="AJ73" s="49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</row>
    <row r="74" spans="1:67" ht="15" customHeight="1" x14ac:dyDescent="0.25">
      <c r="A74" s="7"/>
      <c r="B74" s="35" t="s">
        <v>35</v>
      </c>
      <c r="C74" s="7"/>
      <c r="D74" s="7">
        <f ca="1">+K66</f>
        <v>0</v>
      </c>
      <c r="E74" s="7"/>
      <c r="F74" s="32" t="s">
        <v>36</v>
      </c>
      <c r="G74" s="7" t="s">
        <v>37</v>
      </c>
      <c r="H74" s="7">
        <v>0</v>
      </c>
      <c r="I74" s="7"/>
      <c r="J74" s="7"/>
      <c r="K74" s="7" t="s">
        <v>38</v>
      </c>
      <c r="L74" s="7"/>
      <c r="M74" s="36">
        <f ca="1">+IF(M71&gt;M72,M72,M71)</f>
        <v>0</v>
      </c>
      <c r="N74" s="7"/>
      <c r="O74" s="34"/>
      <c r="P74" s="18"/>
      <c r="Q74" s="7"/>
      <c r="R74" s="7"/>
      <c r="S74" s="7"/>
      <c r="T74" s="7"/>
      <c r="U74" s="49"/>
      <c r="V74" s="7"/>
      <c r="W74" s="7"/>
      <c r="X74" s="7"/>
      <c r="Y74" s="7"/>
      <c r="Z74" s="7"/>
      <c r="AC74" s="7"/>
      <c r="AD74" s="7"/>
      <c r="AE74" s="7"/>
      <c r="AF74" s="7"/>
      <c r="AG74" s="7"/>
      <c r="AH74" s="7"/>
      <c r="AI74" s="49"/>
      <c r="AJ74" s="49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</row>
    <row r="75" spans="1:67" ht="15" customHeight="1" x14ac:dyDescent="0.25">
      <c r="A75" s="7"/>
      <c r="B75" s="7" t="s">
        <v>39</v>
      </c>
      <c r="C75" s="7"/>
      <c r="D75" s="7">
        <v>0</v>
      </c>
      <c r="E75" s="7"/>
      <c r="F75" s="32" t="s">
        <v>40</v>
      </c>
      <c r="G75" s="7" t="s">
        <v>41</v>
      </c>
      <c r="H75" s="7">
        <f ca="1">+IF(O50="HBA HOUSE",O66,0)</f>
        <v>0</v>
      </c>
      <c r="I75" s="35"/>
      <c r="J75" s="35"/>
      <c r="K75" s="7"/>
      <c r="L75" s="7"/>
      <c r="M75" s="7"/>
      <c r="N75" s="7"/>
      <c r="O75" s="34"/>
      <c r="P75" s="18"/>
      <c r="Q75" s="7"/>
      <c r="R75" s="7"/>
      <c r="S75" s="7"/>
      <c r="T75" s="7"/>
      <c r="U75" s="49"/>
      <c r="V75" s="7"/>
      <c r="W75" s="7"/>
      <c r="X75" s="7"/>
      <c r="Y75" s="7"/>
      <c r="Z75" s="7"/>
      <c r="AC75" s="7"/>
      <c r="AD75" s="7"/>
      <c r="AE75" s="7"/>
      <c r="AF75" s="7"/>
      <c r="AG75" s="7"/>
      <c r="AH75" s="7"/>
      <c r="AI75" s="49"/>
      <c r="AJ75" s="49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ht="15" customHeight="1" x14ac:dyDescent="0.25">
      <c r="A76" s="7"/>
      <c r="B76" s="35" t="s">
        <v>42</v>
      </c>
      <c r="C76" s="7"/>
      <c r="D76" s="18">
        <f>IF(C88=0,0,MIN(D85:D89))</f>
        <v>0</v>
      </c>
      <c r="E76" s="7"/>
      <c r="F76" s="32" t="s">
        <v>43</v>
      </c>
      <c r="G76" s="35" t="s">
        <v>44</v>
      </c>
      <c r="H76" s="7">
        <v>0</v>
      </c>
      <c r="I76" s="7"/>
      <c r="J76" s="7"/>
      <c r="K76" s="7" t="s">
        <v>45</v>
      </c>
      <c r="L76" s="7"/>
      <c r="M76" s="33">
        <f ca="1">IF(M70&gt;500000,0,IF(M74&gt;=12500,12500,M74))</f>
        <v>0</v>
      </c>
      <c r="N76" s="7"/>
      <c r="O76" s="34"/>
      <c r="P76" s="18"/>
      <c r="Q76" s="7"/>
      <c r="R76" s="7"/>
      <c r="S76" s="7"/>
      <c r="T76" s="7"/>
      <c r="U76" s="49"/>
      <c r="V76" s="7"/>
      <c r="W76" s="7"/>
      <c r="X76" s="7"/>
      <c r="Y76" s="7"/>
      <c r="Z76" s="7"/>
      <c r="AC76" s="7"/>
      <c r="AD76" s="7"/>
      <c r="AE76" s="7"/>
      <c r="AF76" s="7"/>
      <c r="AG76" s="7"/>
      <c r="AH76" s="7"/>
      <c r="AI76" s="49"/>
      <c r="AJ76" s="49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</row>
    <row r="77" spans="1:67" ht="15" customHeight="1" x14ac:dyDescent="0.25">
      <c r="A77" s="7"/>
      <c r="B77" s="7" t="s">
        <v>46</v>
      </c>
      <c r="C77" s="7"/>
      <c r="D77" s="7">
        <v>0</v>
      </c>
      <c r="E77" s="7"/>
      <c r="F77" s="32" t="s">
        <v>47</v>
      </c>
      <c r="G77" s="7" t="s">
        <v>48</v>
      </c>
      <c r="H77" s="7">
        <v>0</v>
      </c>
      <c r="I77" s="7"/>
      <c r="J77" s="7"/>
      <c r="K77" s="7" t="s">
        <v>49</v>
      </c>
      <c r="L77" s="7"/>
      <c r="M77" s="36">
        <f ca="1">+M74-M76</f>
        <v>0</v>
      </c>
      <c r="N77" s="7"/>
      <c r="O77" s="34"/>
      <c r="P77" s="18"/>
      <c r="Q77" s="7"/>
      <c r="R77" s="7"/>
      <c r="S77" s="7"/>
      <c r="T77" s="7"/>
      <c r="U77" s="49"/>
      <c r="V77" s="7"/>
      <c r="W77" s="7"/>
      <c r="X77" s="7"/>
      <c r="Y77" s="7"/>
      <c r="Z77" s="7"/>
      <c r="AC77" s="7"/>
      <c r="AD77" s="7"/>
      <c r="AE77" s="7"/>
      <c r="AF77" s="7"/>
      <c r="AG77" s="7"/>
      <c r="AH77" s="7"/>
      <c r="AI77" s="49"/>
      <c r="AJ77" s="49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</row>
    <row r="78" spans="1:67" ht="15" customHeight="1" x14ac:dyDescent="0.25">
      <c r="A78" s="7"/>
      <c r="B78" s="35" t="s">
        <v>50</v>
      </c>
      <c r="C78" s="7"/>
      <c r="D78" s="7">
        <f>+IF(O50=B78,O66,0)</f>
        <v>0</v>
      </c>
      <c r="E78" s="7"/>
      <c r="F78" s="32" t="s">
        <v>51</v>
      </c>
      <c r="G78" s="7" t="s">
        <v>52</v>
      </c>
      <c r="H78" s="7">
        <v>0</v>
      </c>
      <c r="I78" s="7"/>
      <c r="J78" s="7"/>
      <c r="K78" s="7" t="s">
        <v>53</v>
      </c>
      <c r="L78" s="7"/>
      <c r="M78" s="7">
        <f ca="1">ROUND(M77*4%,0)</f>
        <v>0</v>
      </c>
      <c r="N78" s="7"/>
      <c r="O78" s="34"/>
      <c r="P78" s="18"/>
      <c r="Q78" s="7"/>
      <c r="R78" s="7"/>
      <c r="S78" s="7"/>
      <c r="T78" s="7"/>
      <c r="U78" s="49"/>
      <c r="V78" s="7"/>
      <c r="W78" s="7"/>
      <c r="X78" s="7"/>
      <c r="Y78" s="7"/>
      <c r="Z78" s="7"/>
      <c r="AC78" s="7"/>
      <c r="AD78" s="7"/>
      <c r="AE78" s="7"/>
      <c r="AF78" s="7"/>
      <c r="AG78" s="7"/>
      <c r="AH78" s="7"/>
      <c r="AI78" s="49"/>
      <c r="AJ78" s="49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</row>
    <row r="79" spans="1:67" ht="15" customHeight="1" x14ac:dyDescent="0.25">
      <c r="A79" s="7"/>
      <c r="B79" s="7"/>
      <c r="C79" s="7"/>
      <c r="D79" s="7"/>
      <c r="E79" s="7"/>
      <c r="F79" s="32" t="s">
        <v>54</v>
      </c>
      <c r="G79" s="7" t="s">
        <v>55</v>
      </c>
      <c r="H79" s="7">
        <v>0</v>
      </c>
      <c r="I79" s="7"/>
      <c r="J79" s="37"/>
      <c r="K79" s="35" t="s">
        <v>56</v>
      </c>
      <c r="L79" s="35"/>
      <c r="M79" s="36">
        <f ca="1">+M77+M78</f>
        <v>0</v>
      </c>
      <c r="N79" s="7"/>
      <c r="O79" s="34"/>
      <c r="P79" s="18"/>
      <c r="Q79" s="7"/>
      <c r="R79" s="7"/>
      <c r="S79" s="7"/>
      <c r="T79" s="7"/>
      <c r="U79" s="49"/>
      <c r="V79" s="7"/>
      <c r="W79" s="7"/>
      <c r="X79" s="7"/>
      <c r="Y79" s="7"/>
      <c r="Z79" s="7"/>
      <c r="AC79" s="7"/>
      <c r="AD79" s="7"/>
      <c r="AE79" s="7"/>
      <c r="AF79" s="7"/>
      <c r="AG79" s="7"/>
      <c r="AH79" s="7"/>
      <c r="AI79" s="49"/>
      <c r="AJ79" s="49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</row>
    <row r="80" spans="1:67" ht="15" customHeight="1" x14ac:dyDescent="0.25">
      <c r="A80" s="7"/>
      <c r="B80" s="38" t="s">
        <v>57</v>
      </c>
      <c r="C80" s="7"/>
      <c r="D80" s="7">
        <f ca="1">SUM(D72:D77)+IF(D78&gt;200000, 200000,D78 )</f>
        <v>50000</v>
      </c>
      <c r="E80" s="7"/>
      <c r="F80" s="32" t="s">
        <v>58</v>
      </c>
      <c r="G80" s="7" t="s">
        <v>59</v>
      </c>
      <c r="H80" s="7">
        <v>0</v>
      </c>
      <c r="I80" s="7"/>
      <c r="J80" s="7"/>
      <c r="K80" s="7" t="s">
        <v>60</v>
      </c>
      <c r="L80" s="7"/>
      <c r="M80" s="18">
        <f ca="1">+R66</f>
        <v>0</v>
      </c>
      <c r="N80" s="7"/>
      <c r="O80" s="34"/>
      <c r="P80" s="18"/>
      <c r="Q80" s="7"/>
      <c r="R80" s="7"/>
      <c r="S80" s="7"/>
      <c r="T80" s="7"/>
      <c r="U80" s="49"/>
      <c r="V80" s="7"/>
      <c r="W80" s="7"/>
      <c r="X80" s="7"/>
      <c r="Y80" s="7"/>
      <c r="Z80" s="7"/>
      <c r="AC80" s="7"/>
      <c r="AD80" s="7"/>
      <c r="AE80" s="7"/>
      <c r="AF80" s="7"/>
      <c r="AG80" s="7"/>
      <c r="AH80" s="7"/>
      <c r="AI80" s="49"/>
      <c r="AJ80" s="49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ht="24" customHeight="1" x14ac:dyDescent="0.25">
      <c r="A81" s="7"/>
      <c r="B81" s="77" t="s">
        <v>61</v>
      </c>
      <c r="C81" s="7"/>
      <c r="D81" s="39">
        <f ca="1">+D70-D80</f>
        <v>-50000</v>
      </c>
      <c r="E81" s="7"/>
      <c r="F81" s="32" t="s">
        <v>62</v>
      </c>
      <c r="G81" s="7" t="s">
        <v>63</v>
      </c>
      <c r="H81" s="7">
        <v>0</v>
      </c>
      <c r="I81" s="7"/>
      <c r="J81" s="7"/>
      <c r="K81" s="7" t="s">
        <v>64</v>
      </c>
      <c r="L81" s="7"/>
      <c r="M81" s="36">
        <v>0</v>
      </c>
      <c r="N81" s="7"/>
      <c r="O81" s="34"/>
      <c r="P81" s="18"/>
      <c r="Q81" s="7"/>
      <c r="R81" s="7"/>
      <c r="S81" s="7"/>
      <c r="T81" s="7"/>
      <c r="U81" s="49"/>
      <c r="V81" s="7"/>
      <c r="W81" s="7"/>
      <c r="X81" s="7"/>
      <c r="Y81" s="7"/>
      <c r="Z81" s="7"/>
      <c r="AC81" s="7"/>
      <c r="AD81" s="7"/>
      <c r="AE81" s="7"/>
      <c r="AF81" s="7"/>
      <c r="AG81" s="7"/>
      <c r="AH81" s="7"/>
      <c r="AI81" s="49"/>
      <c r="AJ81" s="49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5" customHeight="1" x14ac:dyDescent="0.25">
      <c r="A82" s="7"/>
      <c r="B82" s="7"/>
      <c r="C82" s="7"/>
      <c r="D82" s="7"/>
      <c r="E82" s="7"/>
      <c r="F82" s="7"/>
      <c r="G82" s="40" t="s">
        <v>65</v>
      </c>
      <c r="H82" s="7">
        <f ca="1">SUM(H71:H81)</f>
        <v>0</v>
      </c>
      <c r="I82" s="7"/>
      <c r="J82" s="30"/>
      <c r="K82" s="35"/>
      <c r="L82" s="7"/>
      <c r="M82" s="18"/>
      <c r="N82" s="7"/>
      <c r="O82" s="34"/>
      <c r="P82" s="18"/>
      <c r="Q82" s="7"/>
      <c r="R82" s="7"/>
      <c r="S82" s="7"/>
      <c r="T82" s="7"/>
      <c r="U82" s="49"/>
      <c r="V82" s="7"/>
      <c r="W82" s="7"/>
      <c r="X82" s="7"/>
      <c r="Y82" s="7"/>
      <c r="Z82" s="7"/>
      <c r="AC82" s="7"/>
      <c r="AD82" s="7"/>
      <c r="AE82" s="7"/>
      <c r="AF82" s="7"/>
      <c r="AG82" s="7"/>
      <c r="AH82" s="7"/>
      <c r="AI82" s="49"/>
      <c r="AJ82" s="49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</row>
    <row r="83" spans="1:67" ht="15" customHeight="1" thickBot="1" x14ac:dyDescent="0.3">
      <c r="A83" s="7"/>
      <c r="B83" s="7"/>
      <c r="C83" s="7"/>
      <c r="D83" s="7"/>
      <c r="E83" s="7"/>
      <c r="F83" s="7"/>
      <c r="G83" s="38" t="s">
        <v>66</v>
      </c>
      <c r="H83" s="39">
        <f ca="1">+IF(H82&lt;=150000,H82,150000)</f>
        <v>0</v>
      </c>
      <c r="I83" s="7"/>
      <c r="J83" s="35"/>
      <c r="K83" s="7"/>
      <c r="L83" s="7"/>
      <c r="M83" s="7"/>
      <c r="N83" s="7"/>
      <c r="O83" s="7"/>
      <c r="P83" s="7"/>
      <c r="Q83" s="7"/>
      <c r="R83" s="7"/>
      <c r="S83" s="7"/>
      <c r="T83" s="7"/>
      <c r="U83" s="49"/>
      <c r="V83" s="7"/>
      <c r="W83" s="7"/>
      <c r="X83" s="7"/>
      <c r="Y83" s="7"/>
      <c r="Z83" s="7"/>
      <c r="AC83" s="7"/>
      <c r="AD83" s="7"/>
      <c r="AE83" s="7"/>
      <c r="AF83" s="7"/>
      <c r="AG83" s="7"/>
      <c r="AH83" s="7"/>
      <c r="AI83" s="49"/>
      <c r="AJ83" s="49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</row>
    <row r="84" spans="1:67" ht="15.75" customHeight="1" thickBot="1" x14ac:dyDescent="0.3">
      <c r="A84" s="7"/>
      <c r="B84" s="38" t="s">
        <v>67</v>
      </c>
      <c r="C84" s="38"/>
      <c r="D84" s="38"/>
      <c r="E84" s="7"/>
      <c r="F84" s="7"/>
      <c r="G84" s="7"/>
      <c r="H84" s="7"/>
      <c r="I84" s="30"/>
      <c r="J84" s="7"/>
      <c r="K84" s="7" t="s">
        <v>68</v>
      </c>
      <c r="L84" s="42"/>
      <c r="M84" s="41">
        <f ca="1">+M79-M80-M81</f>
        <v>0</v>
      </c>
      <c r="N84" s="7"/>
      <c r="O84" s="7"/>
      <c r="P84" s="7"/>
      <c r="Q84" s="7"/>
      <c r="R84" s="7"/>
      <c r="S84" s="7"/>
      <c r="T84" s="7"/>
      <c r="U84" s="49"/>
      <c r="V84" s="7"/>
      <c r="W84" s="7"/>
      <c r="X84" s="7"/>
      <c r="Y84" s="7"/>
      <c r="Z84" s="7"/>
      <c r="AC84" s="7"/>
      <c r="AD84" s="7"/>
      <c r="AE84" s="7"/>
      <c r="AF84" s="7"/>
      <c r="AG84" s="7"/>
      <c r="AH84" s="7"/>
      <c r="AI84" s="49"/>
      <c r="AJ84" s="49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</row>
    <row r="85" spans="1:67" ht="15" customHeight="1" x14ac:dyDescent="0.25">
      <c r="A85" s="7"/>
      <c r="B85" s="4" t="s">
        <v>69</v>
      </c>
      <c r="C85" s="7"/>
      <c r="D85" s="4">
        <f ca="1">+E66</f>
        <v>0</v>
      </c>
      <c r="E85" s="7"/>
      <c r="F85" s="7"/>
      <c r="G85" s="30" t="s">
        <v>70</v>
      </c>
      <c r="H85" s="30"/>
      <c r="I85" s="3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49"/>
      <c r="V85" s="7"/>
      <c r="W85" s="7"/>
      <c r="X85" s="7"/>
      <c r="Y85" s="7"/>
      <c r="Z85" s="7"/>
      <c r="AC85" s="7"/>
      <c r="AD85" s="7"/>
      <c r="AE85" s="7"/>
      <c r="AF85" s="7"/>
      <c r="AG85" s="7"/>
      <c r="AH85" s="7"/>
      <c r="AI85" s="49"/>
      <c r="AJ85" s="49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</row>
    <row r="86" spans="1:67" ht="15" customHeight="1" x14ac:dyDescent="0.25">
      <c r="A86" s="7"/>
      <c r="B86" s="7" t="s">
        <v>71</v>
      </c>
      <c r="C86" s="7"/>
      <c r="D86" s="22">
        <f ca="1">+(C66+D66)*40/100</f>
        <v>0</v>
      </c>
      <c r="E86" s="7"/>
      <c r="F86" s="32" t="s">
        <v>28</v>
      </c>
      <c r="G86" s="7" t="s">
        <v>72</v>
      </c>
      <c r="H86" s="43">
        <f ca="1">+IF(AND(H66&gt;0,L66&gt;50000),50000,IF(H66&gt;0,L66,0))</f>
        <v>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49"/>
      <c r="V86" s="7"/>
      <c r="W86" s="7"/>
      <c r="X86" s="7"/>
      <c r="Y86" s="7"/>
      <c r="Z86" s="7"/>
      <c r="AC86" s="7"/>
      <c r="AD86" s="7"/>
      <c r="AE86" s="7"/>
      <c r="AF86" s="7"/>
      <c r="AG86" s="7"/>
      <c r="AH86" s="7"/>
      <c r="AI86" s="49"/>
      <c r="AJ86" s="49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</row>
    <row r="87" spans="1:67" ht="15" customHeight="1" x14ac:dyDescent="0.25">
      <c r="A87" s="7"/>
      <c r="B87" s="7" t="s">
        <v>73</v>
      </c>
      <c r="C87" s="22">
        <f ca="1">+(C66+D66)*10/100</f>
        <v>0</v>
      </c>
      <c r="D87" s="7"/>
      <c r="E87" s="7"/>
      <c r="F87" s="32" t="s">
        <v>31</v>
      </c>
      <c r="G87" s="7" t="s">
        <v>9</v>
      </c>
      <c r="H87" s="7">
        <f ca="1">+H66</f>
        <v>0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49"/>
      <c r="V87" s="7"/>
      <c r="W87" s="7"/>
      <c r="X87" s="7"/>
      <c r="Y87" s="7"/>
      <c r="Z87" s="7"/>
      <c r="AC87" s="7"/>
      <c r="AD87" s="7"/>
      <c r="AE87" s="7"/>
      <c r="AF87" s="7"/>
      <c r="AG87" s="7"/>
      <c r="AH87" s="7"/>
      <c r="AI87" s="49"/>
      <c r="AJ87" s="49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</row>
    <row r="88" spans="1:67" ht="15" customHeight="1" x14ac:dyDescent="0.25">
      <c r="A88" s="7"/>
      <c r="B88" s="4" t="s">
        <v>19</v>
      </c>
      <c r="C88" s="44">
        <v>0</v>
      </c>
      <c r="D88" s="7"/>
      <c r="E88" s="7"/>
      <c r="F88" s="32" t="s">
        <v>33</v>
      </c>
      <c r="G88" s="35" t="s">
        <v>74</v>
      </c>
      <c r="H88" s="43">
        <f t="array" aca="1" ref="H88" ca="1">IFERROR(SUM(SUMIF(OFFSET('MAY-21'!$A$1,MATCH(Sheet1!A47,'MAY-21'!$A:$A,0),5,22,1),{"*C M Relief Fund*"},OFFSET('MAY-21'!$A$1,MATCH(Sheet1!A47,'MAY-21'!$A:$A,0),6,22,1)))+SUM(SUMIF(OFFSET('MAY-21'!$A$1,MATCH(Sheet1!A47,'MAY-21'!$A:$A,0),2,22,1),{"*C M Relief Fund*"},OFFSET('MAY-21'!$A$1,MATCH(Sheet1!A47,'MAY-21'!$A:$A,0),3,22,1))),0)</f>
        <v>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49"/>
      <c r="V88" s="7"/>
      <c r="W88" s="7"/>
      <c r="X88" s="7"/>
      <c r="Y88" s="7"/>
      <c r="Z88" s="7"/>
      <c r="AC88" s="7"/>
      <c r="AD88" s="7"/>
      <c r="AE88" s="7"/>
      <c r="AF88" s="7"/>
      <c r="AG88" s="7"/>
      <c r="AH88" s="7"/>
      <c r="AI88" s="49"/>
      <c r="AJ88" s="49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</row>
    <row r="89" spans="1:67" ht="15" customHeight="1" x14ac:dyDescent="0.25">
      <c r="A89" s="7"/>
      <c r="B89" s="7" t="s">
        <v>75</v>
      </c>
      <c r="C89" s="7"/>
      <c r="D89" s="22">
        <f ca="1">+IF(C88&gt;C87,C88-C87, 0)</f>
        <v>0</v>
      </c>
      <c r="E89" s="7"/>
      <c r="F89" s="32" t="s">
        <v>76</v>
      </c>
      <c r="G89" s="35" t="s">
        <v>77</v>
      </c>
      <c r="H89" s="43">
        <v>0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49"/>
      <c r="V89" s="7"/>
      <c r="W89" s="7"/>
      <c r="X89" s="7"/>
      <c r="Y89" s="7"/>
      <c r="Z89" s="7"/>
      <c r="AC89" s="7"/>
      <c r="AD89" s="7"/>
      <c r="AE89" s="7"/>
      <c r="AF89" s="7"/>
      <c r="AG89" s="7"/>
      <c r="AH89" s="7"/>
      <c r="AI89" s="49"/>
      <c r="AJ89" s="49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</row>
    <row r="90" spans="1:67" ht="15" customHeight="1" x14ac:dyDescent="0.25">
      <c r="A90" s="7"/>
      <c r="B90" s="7"/>
      <c r="C90" s="7"/>
      <c r="D90" s="7"/>
      <c r="E90" s="7"/>
      <c r="F90" s="32" t="s">
        <v>40</v>
      </c>
      <c r="G90" s="7" t="s">
        <v>78</v>
      </c>
      <c r="H90" s="7">
        <v>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49"/>
      <c r="V90" s="7"/>
      <c r="W90" s="7"/>
      <c r="X90" s="7"/>
      <c r="Y90" s="7"/>
      <c r="Z90" s="7"/>
      <c r="AC90" s="7"/>
      <c r="AD90" s="7"/>
      <c r="AE90" s="7"/>
      <c r="AF90" s="7"/>
      <c r="AG90" s="7"/>
      <c r="AH90" s="7"/>
      <c r="AI90" s="49"/>
      <c r="AJ90" s="49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</row>
    <row r="91" spans="1:67" ht="15" customHeight="1" x14ac:dyDescent="0.25">
      <c r="A91" s="7"/>
      <c r="B91" s="7"/>
      <c r="C91" s="7"/>
      <c r="D91" s="7"/>
      <c r="E91" s="7"/>
      <c r="F91" s="32" t="s">
        <v>43</v>
      </c>
      <c r="G91" s="7" t="s">
        <v>79</v>
      </c>
      <c r="H91" s="7">
        <v>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49"/>
      <c r="V91" s="7"/>
      <c r="W91" s="7"/>
      <c r="X91" s="7"/>
      <c r="Y91" s="7"/>
      <c r="Z91" s="7"/>
      <c r="AC91" s="7"/>
      <c r="AD91" s="7"/>
      <c r="AE91" s="7"/>
      <c r="AF91" s="7"/>
      <c r="AG91" s="7"/>
      <c r="AH91" s="7"/>
      <c r="AI91" s="49"/>
      <c r="AJ91" s="49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</row>
    <row r="92" spans="1:67" ht="15" customHeight="1" x14ac:dyDescent="0.25">
      <c r="A92" s="4"/>
      <c r="B92" s="4"/>
      <c r="C92" s="4"/>
      <c r="D92" s="4"/>
      <c r="E92" s="4"/>
      <c r="F92" s="7"/>
      <c r="G92" s="7"/>
      <c r="H92" s="39">
        <f ca="1">SUM(H86:H91)</f>
        <v>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8"/>
      <c r="V92" s="4"/>
      <c r="W92" s="4"/>
      <c r="X92" s="4"/>
      <c r="Y92" s="4"/>
      <c r="Z92" s="4"/>
      <c r="AC92" s="4"/>
      <c r="AD92" s="4"/>
      <c r="AE92" s="4"/>
      <c r="AF92" s="4"/>
      <c r="AG92" s="4"/>
      <c r="AH92" s="4"/>
      <c r="AI92" s="48"/>
      <c r="AJ92" s="48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</row>
    <row r="93" spans="1:67" ht="15" customHeight="1" x14ac:dyDescent="0.25">
      <c r="U93" s="50"/>
    </row>
    <row r="94" spans="1:67" ht="15" customHeight="1" x14ac:dyDescent="0.25">
      <c r="A94" s="51" t="str">
        <f>+INDEX('EMP NAMES'!D:D,Sheet1!U98)</f>
        <v/>
      </c>
      <c r="B94" s="4"/>
      <c r="C94" s="5"/>
      <c r="D94" s="3"/>
      <c r="E94" s="4"/>
      <c r="F94" s="4"/>
      <c r="G94" s="3"/>
      <c r="H94" s="3"/>
      <c r="I94" s="6" t="str">
        <f ca="1">+IF(M118=M121,"OLD","NEW")</f>
        <v>OLD</v>
      </c>
      <c r="J94" s="3"/>
      <c r="K94" s="3"/>
      <c r="L94" s="3"/>
      <c r="M94" s="3"/>
      <c r="N94" s="4"/>
      <c r="O94" s="4"/>
      <c r="P94" s="4"/>
      <c r="Q94" s="4"/>
      <c r="R94" s="4"/>
      <c r="S94" s="4"/>
      <c r="T94" s="4"/>
      <c r="U94" s="48"/>
      <c r="V94" s="4"/>
      <c r="W94" s="4"/>
      <c r="X94" s="4"/>
      <c r="Y94" s="4"/>
      <c r="Z94" s="4"/>
      <c r="AC94" s="4"/>
      <c r="AD94" s="4"/>
      <c r="AE94" s="4"/>
      <c r="AF94" s="4"/>
      <c r="AG94" s="4"/>
      <c r="AH94" s="4"/>
      <c r="AI94" s="48"/>
      <c r="AJ94" s="48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</row>
    <row r="95" spans="1:67" ht="15" customHeight="1" x14ac:dyDescent="0.25">
      <c r="A95" s="4"/>
      <c r="C95" s="5"/>
      <c r="D95" s="3"/>
      <c r="E95" s="3"/>
      <c r="F95" s="3"/>
      <c r="G95" s="3" t="str">
        <f>IFERROR(INDEX('EMP NAMES'!E:E,Sheet1!U98),"PAN")</f>
        <v>PAN</v>
      </c>
      <c r="H95" s="3"/>
      <c r="I95" s="3"/>
      <c r="J95" s="3"/>
      <c r="K95" s="3"/>
      <c r="L95" s="3"/>
      <c r="M95" s="3"/>
      <c r="N95" s="3"/>
      <c r="O95" s="7"/>
      <c r="P95" s="7"/>
      <c r="Q95" s="7"/>
      <c r="R95" s="7"/>
      <c r="S95" s="7"/>
      <c r="T95" s="7"/>
      <c r="U95" s="49"/>
      <c r="V95" s="7"/>
      <c r="W95" s="7"/>
      <c r="X95" s="7"/>
      <c r="Y95" s="7"/>
      <c r="Z95" s="7"/>
      <c r="AC95" s="7"/>
      <c r="AD95" s="7"/>
      <c r="AE95" s="7"/>
      <c r="AF95" s="7"/>
      <c r="AG95" s="7"/>
      <c r="AH95" s="7"/>
      <c r="AI95" s="49"/>
      <c r="AJ95" s="49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</row>
    <row r="96" spans="1:67" ht="15" customHeight="1" x14ac:dyDescent="0.25">
      <c r="A96" s="7"/>
      <c r="B96" s="4"/>
      <c r="C96" s="5"/>
      <c r="D96" s="8"/>
      <c r="E96" s="8"/>
      <c r="F96" s="8"/>
      <c r="G96" s="8"/>
      <c r="H96" s="8"/>
      <c r="I96" s="8"/>
      <c r="J96" s="8"/>
      <c r="K96" s="8"/>
      <c r="L96" s="8"/>
      <c r="M96" s="8"/>
      <c r="N96" s="9" t="s">
        <v>0</v>
      </c>
      <c r="O96" s="7"/>
      <c r="P96" s="7"/>
      <c r="Q96" s="7"/>
      <c r="R96" s="7"/>
      <c r="S96" s="7"/>
      <c r="T96" s="7"/>
      <c r="U96" s="65"/>
      <c r="V96" s="7"/>
      <c r="W96" s="7"/>
      <c r="X96" s="7"/>
      <c r="Y96" s="7"/>
      <c r="Z96" s="7"/>
      <c r="AC96" s="66"/>
      <c r="AD96" s="66"/>
      <c r="AE96" s="66"/>
      <c r="AF96" s="66"/>
      <c r="AG96" s="66"/>
      <c r="AH96" s="66"/>
      <c r="AI96" s="65"/>
      <c r="AJ96" s="65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9"/>
      <c r="BH96" s="69"/>
      <c r="BI96" s="69"/>
      <c r="BJ96" s="69"/>
      <c r="BK96" s="69"/>
      <c r="BL96" s="69"/>
      <c r="BM96" s="69"/>
      <c r="BN96" s="69"/>
      <c r="BO96" s="69"/>
    </row>
    <row r="97" spans="1:67" ht="51" customHeight="1" x14ac:dyDescent="0.25">
      <c r="A97" s="10" t="s">
        <v>2</v>
      </c>
      <c r="B97" s="11" t="s">
        <v>3</v>
      </c>
      <c r="C97" s="11" t="s">
        <v>4</v>
      </c>
      <c r="D97" s="11" t="s">
        <v>5</v>
      </c>
      <c r="E97" s="11" t="s">
        <v>6</v>
      </c>
      <c r="F97" s="11" t="s">
        <v>7</v>
      </c>
      <c r="G97" s="11" t="s">
        <v>8</v>
      </c>
      <c r="H97" s="12" t="s">
        <v>9</v>
      </c>
      <c r="I97" s="11" t="s">
        <v>10</v>
      </c>
      <c r="J97" s="11" t="s">
        <v>11</v>
      </c>
      <c r="K97" s="11" t="s">
        <v>12</v>
      </c>
      <c r="L97" s="11" t="s">
        <v>13</v>
      </c>
      <c r="M97" s="11" t="s">
        <v>14</v>
      </c>
      <c r="N97" s="11" t="s">
        <v>15</v>
      </c>
      <c r="O97" s="11" t="s">
        <v>16</v>
      </c>
      <c r="P97" s="11" t="s">
        <v>17</v>
      </c>
      <c r="Q97" s="11" t="s">
        <v>18</v>
      </c>
      <c r="R97" s="12" t="s">
        <v>85</v>
      </c>
      <c r="S97" s="37" t="s">
        <v>82</v>
      </c>
      <c r="T97" s="13"/>
      <c r="U97" s="75" t="s">
        <v>112</v>
      </c>
      <c r="V97" s="75" t="s">
        <v>88</v>
      </c>
      <c r="W97" s="75" t="s">
        <v>86</v>
      </c>
      <c r="X97" s="75" t="s">
        <v>87</v>
      </c>
      <c r="Y97" s="75" t="s">
        <v>89</v>
      </c>
      <c r="Z97" s="75" t="s">
        <v>1</v>
      </c>
      <c r="AA97" s="75" t="s">
        <v>90</v>
      </c>
      <c r="AB97" s="76" t="s">
        <v>91</v>
      </c>
      <c r="AC97" s="75" t="s">
        <v>92</v>
      </c>
      <c r="AD97" s="75" t="s">
        <v>93</v>
      </c>
      <c r="AE97" s="75" t="s">
        <v>113</v>
      </c>
      <c r="AF97" s="75" t="s">
        <v>114</v>
      </c>
      <c r="AG97" s="75" t="s">
        <v>18</v>
      </c>
      <c r="AH97" s="75" t="s">
        <v>94</v>
      </c>
      <c r="AI97" s="75" t="s">
        <v>95</v>
      </c>
      <c r="AJ97" s="75" t="s">
        <v>18</v>
      </c>
      <c r="AK97" s="75" t="s">
        <v>96</v>
      </c>
      <c r="AL97" s="75" t="s">
        <v>97</v>
      </c>
      <c r="AM97" s="75" t="s">
        <v>115</v>
      </c>
      <c r="AN97" s="75" t="s">
        <v>116</v>
      </c>
      <c r="AO97" s="75" t="s">
        <v>117</v>
      </c>
      <c r="AP97" s="75" t="s">
        <v>118</v>
      </c>
      <c r="AQ97" s="75" t="s">
        <v>98</v>
      </c>
      <c r="AR97" s="75" t="s">
        <v>99</v>
      </c>
      <c r="AS97" s="75" t="s">
        <v>100</v>
      </c>
      <c r="AT97" s="75" t="s">
        <v>101</v>
      </c>
      <c r="AU97" s="75" t="s">
        <v>102</v>
      </c>
      <c r="AV97" s="75" t="s">
        <v>103</v>
      </c>
      <c r="AW97" s="75" t="s">
        <v>104</v>
      </c>
      <c r="AX97" s="75" t="s">
        <v>105</v>
      </c>
      <c r="AY97" s="75" t="s">
        <v>106</v>
      </c>
      <c r="AZ97" s="75" t="s">
        <v>107</v>
      </c>
      <c r="BA97" s="75" t="s">
        <v>108</v>
      </c>
      <c r="BB97" s="75" t="s">
        <v>109</v>
      </c>
      <c r="BC97" s="75" t="s">
        <v>110</v>
      </c>
      <c r="BD97" s="75" t="s">
        <v>21</v>
      </c>
      <c r="BE97" s="75" t="s">
        <v>111</v>
      </c>
      <c r="BH97" s="68"/>
      <c r="BI97" s="68"/>
      <c r="BJ97" s="68"/>
      <c r="BK97" s="68"/>
      <c r="BL97" s="68"/>
      <c r="BM97" s="68"/>
      <c r="BN97" s="73"/>
      <c r="BO97" s="73"/>
    </row>
    <row r="98" spans="1:67" ht="15" customHeight="1" x14ac:dyDescent="0.25">
      <c r="A98" s="14">
        <v>1</v>
      </c>
      <c r="B98" s="15">
        <v>44256</v>
      </c>
      <c r="C98" s="16">
        <f ca="1">IFERROR(SUM(SUMIF(OFFSET('MAR-21'!$A$1,MATCH(Sheet1!A94,'MAR-21'!$A:$A,0),0,22,1),{"BA*C","BASIC??"},OFFSET('MAR-21'!$A$1,MATCH(Sheet1!A94,'MAR-21'!$A:$A,0),1,22,1))),0)</f>
        <v>0</v>
      </c>
      <c r="D98" s="16">
        <f ca="1">IFERROR(SUM(SUMIF(OFFSET('MAR-21'!$A$1,MATCH(Sheet1!A94,'MAR-21'!$A:$A,0),0,22,1),{"DA*C","D. *"},OFFSET('MAR-21'!$A$1,MATCH(Sheet1!A94,'MAR-21'!$A:$A,0),1,22,1))),0)</f>
        <v>0</v>
      </c>
      <c r="E98" s="16">
        <f ca="1">IFERROR(SUM(SUMIF(OFFSET('MAR-21'!$A$1,MATCH(Sheet1!A94,'MAR-21'!$A:$A,0),0,22,1),{"H. R. A."},OFFSET('MAR-21'!$A$1,MATCH(Sheet1!A94,'MAR-21'!$A:$A,0),1,22,1))),0)</f>
        <v>0</v>
      </c>
      <c r="F98" s="16">
        <f t="array" aca="1" ref="F98" ca="1">IFERROR(SUM(SUMIF(OFFSET('MAR-21'!$A$1,MATCH(Sheet1!A94,'MAR-21'!$A:$A,0),0,22,1),{"SP*AY*","S D A*","O.A.*","CLA (5th Pay)*","REF. Allow*","Trans.Allw.*","LF*","P. O.*","ARM*","Conv.A*","Otr.Allow*","Trans_Arrear*","BMIA*","Incentives*","Fit Allow*","KMA","NON-*","U.*","ME*A","PG*","Per.Tra"},OFFSET('MAR-21'!$A$1,MATCH(Sheet1!A94,'MAR-21'!$A:$A,0),1,22,1))),0)</f>
        <v>0</v>
      </c>
      <c r="G98" s="16">
        <f ca="1">IFERROR(SUM(SUMIF(OFFSET('MAR-21'!$A$1,MATCH(Sheet1!A94,'MAR-21'!$A:$A,0),0,22,1),{"WA"},OFFSET('MAR-21'!$A$1,MATCH(Sheet1!A94,'MAR-21'!$A:$A,0),1,22,1))),0)</f>
        <v>0</v>
      </c>
      <c r="H98" s="16">
        <f ca="1">IFERROR(SUM(SUMIF(OFFSET('MAR-21'!$A$1,MATCH(Sheet1!A94,'MAR-21'!$A:$A,0),0,22,1),{"DCPS","GROSS_ADJUST"},OFFSET('MAR-21'!$A$1,MATCH(Sheet1!A94,'MAR-21'!$A:$A,0),1,22,1))),0)</f>
        <v>0</v>
      </c>
      <c r="I98" s="16">
        <f t="array" aca="1" ref="I98" ca="1">+IFERROR(SUM(SUMIF(OFFSET('MAR-21'!$A$1,MATCH(Sheet1!A94,'MAR-21'!$A:$A,0),0,22,1),{"Basic*Arr*","7th Pay* Arr*"},OFFSET('MAR-21'!$A$1,MATCH(Sheet1!A94,'MAR-21'!$A:$A,0),1,22,1))),0)</f>
        <v>0</v>
      </c>
      <c r="J98" s="16">
        <f ca="1">+SUM(C98:I98)</f>
        <v>0</v>
      </c>
      <c r="K98" s="16">
        <f ca="1">IFERROR(SUM(SUMIF(OFFSET('MAR-21'!$A$1,MATCH(Sheet1!A94,'MAR-21'!$A:$A,0),2,22,1),{"*Pro*ax*"},OFFSET('MAR-21'!$A$1,MATCH(Sheet1!A94,'MAR-21'!$A:$A,0),3,22,1))),0)</f>
        <v>0</v>
      </c>
      <c r="L98" s="16">
        <f ca="1">IFERROR(SUM(SUMIF(OFFSET('MAR-21'!$A$1,MATCH(Sheet1!A94,'MAR-21'!$A:$A,0),2,22,1),{"GPF_G*","DCPS"},OFFSET('MAR-21'!$A$1,MATCH(Sheet1!A94,'MAR-21'!$A:$A,0),3,22,1))),0)</f>
        <v>0</v>
      </c>
      <c r="M98" s="16">
        <f ca="1">IFERROR(SUM(SUMIF(OFFSET('MAR-21'!$A$1,MATCH(Sheet1!A94,'MAR-21'!$A:$A,0),2,22,1),{"*GIS","GIS*R"},OFFSET('MAR-21'!$A$1,MATCH(Sheet1!A94,'MAR-21'!$A:$A,0),3,22,1))),0)</f>
        <v>0</v>
      </c>
      <c r="N98" s="16">
        <f ca="1">IFERROR(SUM(SUMIF(OFFSET('MAR-21'!$A$1,MATCH(Sheet1!A94,'MAR-21'!$A:$A,0),5,22,1),{"LI*1"},OFFSET('MAR-21'!$A$1,MATCH(Sheet1!A94,'MAR-21'!$A:$A,0),6,22,1))),0)</f>
        <v>0</v>
      </c>
      <c r="O98" s="16">
        <f t="array" aca="1" ref="O98" ca="1">IFERROR(SUM(SUMIF(OFFSET('MAR-21'!$A$1,MATCH(Sheet1!A94,'MAR-21'!$A:$A,0),2,22,1),{"*HB*USE","HB*INT"},OFFSET('MAR-21'!$A$1,MATCH(Sheet1!A94,'MAR-21'!$A:$A,0),3,22,1))),0)</f>
        <v>0</v>
      </c>
      <c r="P98" s="16">
        <f t="array" aca="1" ref="P98" ca="1">IFERROR(SUM(SUMIF(OFFSET('MAR-21'!$A$1,MATCH(Sheet1!A94,'MAR-21'!$A:$A,0),5,22,1),{"OTHE*1","CO.*1","OTHE*2","WEL*ND","BAN*1","CLU*ND","RD*1","LI*2","MIS*US","*TAINAN*","MCA*INT*","MAIN*NANCE*","*C M Relief Fund*","Co. Op. Hsg Soc.*","GPF_ADV*","Co. Op. Cr. Soc. 2*","DCPS DA","DCPS Pay","MCA Int"},OFFSET('MAR-21'!$A$1,MATCH(Sheet1!A94,'MAR-21'!$A:$A,0),6,22,1)))+SUM(SUMIF(OFFSET('MAR-21'!$A$1,MATCH(Sheet1!A94,'MAR-21'!$A:$A,0),2,22,1),{"MCA","COM*DV*","HB*ND","CO*SOC","HRR","SRV*H","ACC*CY","F.A","STAMP_REVENUE","*C M Relief Fund*","GPF_ADV*","Co. Op. Cr. Soc. 2*","DCPS DA","DCPS Pay","MCA Int"},OFFSET('MAR-21'!$A$1,MATCH(Sheet1!A94,'MAR-21'!$A:$A,0),3,22,1))),0)</f>
        <v>0</v>
      </c>
      <c r="Q98" s="17">
        <f ca="1">+J98-H98-K98-L98-M98-N98-O98-P98-R98</f>
        <v>0</v>
      </c>
      <c r="R98" s="17">
        <f ca="1">IFERROR(SUM(SUMIF(OFFSET('MAR-21'!$A$1,MATCH(Sheet1!A94,'MAR-21'!$A:$A,0),2,22,1),{"*I.*ax*"},OFFSET('MAR-21'!$A$1,MATCH(Sheet1!A94,'MAR-21'!$A:$A,0),3,22,1))),0)</f>
        <v>0</v>
      </c>
      <c r="S98" s="46" t="str">
        <f t="array" aca="1" ref="S98" ca="1">+IFERROR(IF(OFFSET('MAR-21'!$B$1,MATCH(Sheet1!A94,'MAR-21'!B:B,0)-2,0,1,1)=Sheet1!J98,IF(MID(IFERROR(OFFSET('MAR-21'!$B$1,MATCH(Sheet1!A94,'MAR-21'!$B:$B,0)-1,-1,1,1),"GROSS ERROR"),11,FIND(" ",OFFSET('MAR-21'!$B$1,MATCH(Sheet1!A94,'MAR-21'!$B:$B,0)-1,-1,1,1),12)-11)-Q98=0,"","NET MISMATCH"),"GROSS MISMATCH"),"")</f>
        <v/>
      </c>
      <c r="T98" s="47"/>
      <c r="U98" s="49">
        <f>+U51+1</f>
        <v>4</v>
      </c>
      <c r="V98" s="7" t="str">
        <f ca="1">+IF(M118=M121,"NO","YES")</f>
        <v>NO</v>
      </c>
      <c r="W98" s="7" t="str">
        <f>+G95</f>
        <v>PAN</v>
      </c>
      <c r="X98" s="7" t="str">
        <f>+A94</f>
        <v/>
      </c>
      <c r="Y98" s="7">
        <f ca="1">+D117</f>
        <v>0</v>
      </c>
      <c r="Z98" s="7">
        <v>0</v>
      </c>
      <c r="AA98" s="7">
        <v>0</v>
      </c>
      <c r="AB98" s="49">
        <f ca="1">+SUM(Y98:AA98)</f>
        <v>0</v>
      </c>
      <c r="AC98" s="49">
        <f>+D119</f>
        <v>50000</v>
      </c>
      <c r="AD98" s="7">
        <f ca="1">+D121</f>
        <v>0</v>
      </c>
      <c r="AE98" s="18">
        <f>+D123</f>
        <v>0</v>
      </c>
      <c r="AF98" s="7">
        <f ca="1">+D122+D120+D124</f>
        <v>0</v>
      </c>
      <c r="AG98" s="21">
        <f ca="1">+AB98-SUM(AC98:AF98)</f>
        <v>-50000</v>
      </c>
      <c r="AH98" s="7">
        <f>+IF(D125&gt;=200000,-200000,-D125)</f>
        <v>0</v>
      </c>
      <c r="AI98" s="21">
        <v>0</v>
      </c>
      <c r="AJ98" s="21">
        <f ca="1">+AG98+AH98+AI98</f>
        <v>-50000</v>
      </c>
      <c r="AK98" s="21">
        <f ca="1">+IF(H134&gt;0,H129-H118,H129)</f>
        <v>0</v>
      </c>
      <c r="AL98" s="21">
        <f t="array" aca="1" ref="AL98" ca="1">+IF(IF(AND((AK98+AN98)&gt;=150000,AK98&gt;=150000),150000-AN98,AK98)&lt;0,0,IF(AND((AK98+AN98)&gt;=150000,AK98&gt;=150000),150000-AN98,IF(AND(SUM(AK98+AN98)&gt;150000,AK98&lt;150000),150000-AN98,AK98)))</f>
        <v>0</v>
      </c>
      <c r="AM98" s="21">
        <f ca="1">+IF(H113&gt;0,L113,0)</f>
        <v>0</v>
      </c>
      <c r="AN98" s="21">
        <f ca="1">+AM98-AO98</f>
        <v>0</v>
      </c>
      <c r="AO98" s="21">
        <f ca="1">+IF(AND(H113&gt;0,L113&gt;50000),50000,IF(H113&gt;0,L113,0))</f>
        <v>0</v>
      </c>
      <c r="AP98" s="21">
        <f ca="1">+H113</f>
        <v>0</v>
      </c>
      <c r="AQ98" s="21">
        <f>+H136</f>
        <v>0</v>
      </c>
      <c r="AR98" s="21">
        <f>+H138</f>
        <v>0</v>
      </c>
      <c r="AS98" s="21">
        <f ca="1">+H135</f>
        <v>0</v>
      </c>
      <c r="AT98" s="21">
        <f>+H137</f>
        <v>0</v>
      </c>
      <c r="AU98" s="21">
        <f ca="1">+SUM(AQ98:AT98)+AP98+AO98+AN98+AL98</f>
        <v>0</v>
      </c>
      <c r="AV98" s="21">
        <f ca="1">+AJ98-AU98</f>
        <v>-50000</v>
      </c>
      <c r="AW98" s="21">
        <f ca="1">+M121</f>
        <v>0</v>
      </c>
      <c r="AX98" s="21">
        <f ca="1">+M123</f>
        <v>0</v>
      </c>
      <c r="AY98" s="21">
        <f ca="1">+M125</f>
        <v>0</v>
      </c>
      <c r="AZ98" s="21">
        <f>+M128</f>
        <v>0</v>
      </c>
      <c r="BA98" s="21">
        <f ca="1">+AW98-AX98+AY98-AZ98</f>
        <v>0</v>
      </c>
      <c r="BB98" s="21">
        <f ca="1">+M127</f>
        <v>0</v>
      </c>
      <c r="BC98" s="21">
        <v>0</v>
      </c>
      <c r="BD98" s="21">
        <f ca="1">+BB98+BC98</f>
        <v>0</v>
      </c>
      <c r="BE98" s="21">
        <f ca="1">+BA98-BD98</f>
        <v>0</v>
      </c>
      <c r="BF98" s="21" t="str">
        <f ca="1">+IF(AV98=M117,"","NOT OK")</f>
        <v/>
      </c>
      <c r="BH98" s="64" t="str">
        <f>+G95</f>
        <v>PAN</v>
      </c>
      <c r="BI98" s="47" t="str">
        <f>+A94</f>
        <v/>
      </c>
      <c r="BJ98" s="18" t="str">
        <f t="array" aca="1" ref="BJ98" ca="1">IFERROR(OFFSET('MAR-21'!$B$1,MATCH(Sheet1!A94,'MAR-21'!$B:$B,0)+1,0,1,1),"")</f>
        <v/>
      </c>
      <c r="BK98" s="64">
        <f t="shared" ref="BK98:BK110" ca="1" si="16">+J98</f>
        <v>0</v>
      </c>
      <c r="BL98" s="18">
        <f t="shared" ref="BL98:BL110" ca="1" si="17">+R98</f>
        <v>0</v>
      </c>
      <c r="BM98" s="7" t="str">
        <f t="array" aca="1" ref="BM98" ca="1">IFERROR(OFFSET('MAR-21'!$A$1,MATCH(Sheet1!A94,'MAR-21'!$A:$A,0)-2,0,1,1),"")</f>
        <v/>
      </c>
      <c r="BN98" s="21"/>
      <c r="BO98" s="21"/>
    </row>
    <row r="99" spans="1:67" ht="15" customHeight="1" x14ac:dyDescent="0.25">
      <c r="A99" s="14">
        <v>2</v>
      </c>
      <c r="B99" s="15">
        <v>44287</v>
      </c>
      <c r="C99" s="16">
        <f ca="1">IFERROR(SUM(SUMIF(OFFSET('APR-21'!$A$1,MATCH(Sheet1!A94,'APR-21'!$A:$A,0),0,22,1),{"BA*C","BASIC??"},OFFSET('APR-21'!$A$1,MATCH(Sheet1!A94,'APR-21'!$A:$A,0),1,22,1))),0)</f>
        <v>0</v>
      </c>
      <c r="D99" s="16">
        <f ca="1">IFERROR(SUM(SUMIF(OFFSET('APR-21'!$A$1,MATCH(Sheet1!A94,'APR-21'!$A:$A,0),0,22,1),{"DA*C","D. *"},OFFSET('APR-21'!$A$1,MATCH(Sheet1!A94,'APR-21'!$A:$A,0),1,22,1))),0)</f>
        <v>0</v>
      </c>
      <c r="E99" s="16">
        <f ca="1">IFERROR(SUM(SUMIF(OFFSET('APR-21'!$A$1,MATCH(Sheet1!A94,'APR-21'!$A:$A,0),0,22,1),{"H. R. A."},OFFSET('APR-21'!$A$1,MATCH(Sheet1!A94,'APR-21'!$A:$A,0),1,22,1))),0)</f>
        <v>0</v>
      </c>
      <c r="F99" s="16">
        <f ca="1">IFERROR(SUM(SUMIF(OFFSET('APR-21'!$A$1,MATCH(Sheet1!A94,'APR-21'!$A:$A,0),0,22,1),{"SP*AY*","S D A*","O.A.*","CLA (5th Pay)*","REF. Allow*","Trans.Allw.*","LF*","P. O.*","ARM*","Conv.A*","Otr.Allow*","Trans_Arrear*","BMIA*","Incentives*","Fit Allow*","KMA","NON-*","U.*","ME*A","PG*","Per.Tra"},OFFSET('APR-21'!$A$1,MATCH(Sheet1!A94,'APR-21'!$A:$A,0),1,22,1))),0)</f>
        <v>0</v>
      </c>
      <c r="G99" s="16">
        <f ca="1">IFERROR(SUM(SUMIF(OFFSET('APR-21'!$A$1,MATCH(Sheet1!A94,'APR-21'!$A:$A,0),0,22,1),{"WA"},OFFSET('APR-21'!$A$1,MATCH(Sheet1!A94,'APR-21'!$A:$A,0),1,22,1))),0)</f>
        <v>0</v>
      </c>
      <c r="H99" s="16">
        <f ca="1">IFERROR(SUM(SUMIF(OFFSET('APR-21'!$A$1,MATCH(Sheet1!A94,'APR-21'!$A:$A,0),0,22,1),{"DCPS","GROSS_ADJUST"},OFFSET('APR-21'!$A$1,MATCH(Sheet1!A94,'APR-21'!$A:$A,0),1,22,1))),0)</f>
        <v>0</v>
      </c>
      <c r="I99" s="16">
        <f t="array" aca="1" ref="I99" ca="1">+IFERROR(SUM(SUMIF(OFFSET('APR-21'!$A$1,MATCH(Sheet1!A94,'APR-21'!$A:$A,0),0,22,1),{"Arr*","7th Pay* Arr*","Basic Arr."},OFFSET('APR-21'!$A$1,MATCH(Sheet1!A94,'APR-21'!$A:$A,0),1,22,1))),0)</f>
        <v>0</v>
      </c>
      <c r="J99" s="16">
        <f t="shared" ref="J99:J106" ca="1" si="18">SUM(C99:I99)</f>
        <v>0</v>
      </c>
      <c r="K99" s="16">
        <f ca="1">IFERROR(SUM(SUMIF(OFFSET('APR-21'!$A$1,MATCH(Sheet1!A94,'APR-21'!$A:$A,0),2,22,1),{"*Pro*ax*"},OFFSET('APR-21'!$A$1,MATCH(Sheet1!A94,'APR-21'!$A:$A,0),3,22,1))),0)</f>
        <v>0</v>
      </c>
      <c r="L99" s="16">
        <f ca="1">IFERROR(SUM(SUMIF(OFFSET('APR-21'!$A$1,MATCH(Sheet1!A94,'APR-21'!$A:$A,0),2,22,1),{"GPF_G*","DCPS"},OFFSET('APR-21'!$A$1,MATCH(Sheet1!A94,'APR-21'!$A:$A,0),3,22,1))),0)</f>
        <v>0</v>
      </c>
      <c r="M99" s="16">
        <f ca="1">IFERROR(SUM(SUMIF(OFFSET('APR-21'!$A$1,MATCH(Sheet1!A94,'APR-21'!$A:$A,0),2,22,1),{"*GIS","GIS*R"},OFFSET('APR-21'!$A$1,MATCH(Sheet1!A94,'APR-21'!$A:$A,0),3,22,1))),0)</f>
        <v>0</v>
      </c>
      <c r="N99" s="16">
        <f ca="1">IFERROR(SUM(SUMIF(OFFSET('APR-21'!$A$1,MATCH(Sheet1!A94,'APR-21'!$A:$A,0),5,22,1),{"LI*1"},OFFSET('APR-21'!$A$1,MATCH(Sheet1!A94,'APR-21'!$A:$A,0),6,22,1))),0)</f>
        <v>0</v>
      </c>
      <c r="O99" s="16">
        <f t="array" aca="1" ref="O99" ca="1">IFERROR(SUM(SUMIF(OFFSET('APR-21'!$A$1,MATCH(Sheet1!A94,'APR-21'!$A:$A,0),2,22,1),{"HB*USE","HB*INT"},OFFSET('APR-21'!$A$1,MATCH(Sheet1!A94,'APR-21'!$A:$A,0),3,22,1))),0)</f>
        <v>0</v>
      </c>
      <c r="P99" s="16">
        <f t="array" aca="1" ref="P99" ca="1">IFERROR(SUM(SUMIF(OFFSET('APR-21'!$A$1,MATCH(Sheet1!A94,'APR-21'!$A:$A,0),5,22,1),{"OTHE*1","CO.*1","OTHE*2","WEL*ND","BAN*1","CLU*ND","RD*1","LI*2","MIS*US","*TAINAN*","MCA*INT*","MAIN*NANCE*","*C M Relief Fund*","Co. Op. Hsg Soc.*","GPF_ADV*","Co. Op. Cr. Soc. 2*","DCPS DA","DCPS Pay","MCA Int"},OFFSET('APR-21'!$A$1,MATCH(Sheet1!A94,'APR-21'!$A:$A,0),6,22,1)))+SUM(SUMIF(OFFSET('APR-21'!$A$1,MATCH(Sheet1!A94,'APR-21'!$A:$A,0),2,22,1),{"MCA","COM*DV*","HB*ND","CO*SOC","HRR","SRV*H","ACC*CY","F.A","STAMP_REVENUE","*C M Relief Fund*","GPF_ADV*","Co. Op. Cr. Soc. 2*","DCPS DA","DCPS Pay","MCA Int"},OFFSET('APR-21'!$A$1,MATCH(Sheet1!A94,'APR-21'!$A:$A,0),3,22,1))),0)</f>
        <v>0</v>
      </c>
      <c r="Q99" s="17">
        <f t="shared" ref="Q99:Q103" ca="1" si="19">+J99-H99-K99-L99-M99-N99-O99-P99-R99</f>
        <v>0</v>
      </c>
      <c r="R99" s="17">
        <f t="array" aca="1" ref="R99" ca="1">IFERROR(SUM(SUMIF(OFFSET('APR-21'!$A$1,MATCH(Sheet1!A94,'APR-21'!$A:$A,0),2,22,1),{"*I. *ax*"},OFFSET('APR-21'!$A$1,MATCH(Sheet1!A94,'APR-21'!$A:$A,0),3,22,1))),0)</f>
        <v>0</v>
      </c>
      <c r="S99" s="46" t="str">
        <f t="array" aca="1" ref="S99" ca="1">+IFERROR(IF(OFFSET('APR-21'!$B$1,MATCH(Sheet1!A94,'APR-21'!B:B,0)-2,0,1,1)=Sheet1!J99,IF(MID(IFERROR(OFFSET('APR-21'!$B$1,MATCH(Sheet1!A94,'APR-21'!$B:$B,0)-1,-1,1,1),"GROSS ERROR"),11,FIND(" ",OFFSET('APR-21'!$B$1,MATCH(Sheet1!A94,'APR-21'!$B:$B,0)-1,-1,1,1),12)-11)-Q99=0,"","NET MISMATCH"),"GROSS MISMATCH"),"")</f>
        <v/>
      </c>
      <c r="T99" s="47"/>
      <c r="U99" s="49"/>
      <c r="V99" s="18"/>
      <c r="W99" s="7"/>
      <c r="X99" s="18"/>
      <c r="Y99" s="7"/>
      <c r="Z99" s="19"/>
      <c r="AC99" s="7"/>
      <c r="AD99" s="7"/>
      <c r="AE99" s="7"/>
      <c r="AF99" s="7"/>
      <c r="AG99" s="7"/>
      <c r="AH99" s="7"/>
      <c r="AI99" s="49"/>
      <c r="AJ99" s="49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64" t="str">
        <f>+G95</f>
        <v>PAN</v>
      </c>
      <c r="BI99" s="47" t="str">
        <f>+A94</f>
        <v/>
      </c>
      <c r="BJ99" s="18" t="str">
        <f t="array" aca="1" ref="BJ99" ca="1">IFERROR(OFFSET('APR-21'!$B$1,MATCH(Sheet1!A94,'APR-21'!$B:$B,0)+1,0,1,1),"")</f>
        <v/>
      </c>
      <c r="BK99" s="64">
        <f t="shared" ca="1" si="16"/>
        <v>0</v>
      </c>
      <c r="BL99" s="18">
        <f t="shared" ca="1" si="17"/>
        <v>0</v>
      </c>
      <c r="BM99" s="7" t="str">
        <f t="array" aca="1" ref="BM99" ca="1">IFERROR(OFFSET('APR-21'!$A$1,MATCH(Sheet1!A94,'APR-21'!$A:$A,0)-2,0,1,1),"")</f>
        <v/>
      </c>
      <c r="BN99" s="7"/>
      <c r="BO99" s="7"/>
    </row>
    <row r="100" spans="1:67" ht="15" customHeight="1" x14ac:dyDescent="0.25">
      <c r="A100" s="14">
        <v>3</v>
      </c>
      <c r="B100" s="15">
        <v>44317</v>
      </c>
      <c r="C100" s="16">
        <f ca="1">IFERROR(SUM(SUMIF(OFFSET('MAY-21'!$A$1,MATCH(Sheet1!A94,'MAY-21'!$A:$A,0),0,22,1),{"BA*C","BASIC??"},OFFSET('MAY-21'!$A$1,MATCH(Sheet1!A94,'MAY-21'!$A:$A,0),1,22,1))),0)</f>
        <v>0</v>
      </c>
      <c r="D100" s="16">
        <f ca="1">IFERROR(SUM(SUMIF(OFFSET('MAY-21'!$A$1,MATCH(Sheet1!A94,'MAY-21'!$A:$A,0),0,22,1),{"DA*C","D. *"},OFFSET('MAY-21'!$A$1,MATCH(Sheet1!A94,'MAY-21'!$A:$A,0),1,22,1))),0)</f>
        <v>0</v>
      </c>
      <c r="E100" s="16">
        <f ca="1">IFERROR(SUM(SUMIF(OFFSET('MAY-21'!$A$1,MATCH(Sheet1!A94,'MAY-21'!$A:$A,0),0,22,1),{"H. R. A."},OFFSET('MAY-21'!$A$1,MATCH(Sheet1!A94,'MAY-21'!$A:$A,0),1,22,1))),0)</f>
        <v>0</v>
      </c>
      <c r="F100" s="16">
        <f t="array" aca="1" ref="F100" ca="1">IFERROR(SUM(SUMIF(OFFSET('MAY-21'!$A$1,MATCH(Sheet1!A94,'MAY-21'!$A:$A,0),0,22,1),{"SP*AY*","S D A*","O.A.*","CLA (5th Pay)*","REF. Allow*","Trans.Allw.*","LF*","P. O.*","ARM*","Conv.A*","Otr.Allow*","Trans_Arrear*","BMIA*","Incentives*","Fit Allow*","KMA","NON-*","U.*","ME*A","PG*","Per.Tra"},OFFSET('MAY-21'!$A$1,MATCH(Sheet1!A94,'MAY-21'!$A:$A,0),1,22,1))),0)</f>
        <v>0</v>
      </c>
      <c r="G100" s="16">
        <f ca="1">IFERROR(SUM(SUMIF(OFFSET('MAY-21'!$A$1,MATCH(Sheet1!A94,'MAY-21'!$A:$A,0),0,22,1),{"WA"},OFFSET('MAY-21'!$A$1,MATCH(Sheet1!A94,'MAY-21'!$A:$A,0),1,22,1))),0)</f>
        <v>0</v>
      </c>
      <c r="H100" s="16">
        <f ca="1">IFERROR(SUM(SUMIF(OFFSET('MAY-21'!$A$1,MATCH(Sheet1!A94,'MAY-21'!$A:$A,0),0,22,1),{"DCPS","GROSS_ADJUST"},OFFSET('MAY-21'!$A$1,MATCH(Sheet1!A94,'MAY-21'!$A:$A,0),1,22,1))),0)</f>
        <v>0</v>
      </c>
      <c r="I100" s="16">
        <f t="array" aca="1" ref="I100" ca="1">+IFERROR(SUM(SUMIF(OFFSET('MAY-21'!$A$1,MATCH(Sheet1!A94,'MAY-21'!$A:$A,0),0,22,1),{"Arr*","7th Pay* Arr*","Basic Arr.","DA Arr"},OFFSET('MAY-21'!$A$1,MATCH(Sheet1!A94,'MAY-21'!$A:$A,0),1,22,1))),0)</f>
        <v>0</v>
      </c>
      <c r="J100" s="16">
        <f t="shared" ca="1" si="18"/>
        <v>0</v>
      </c>
      <c r="K100" s="16">
        <f ca="1">IFERROR(SUM(SUMIF(OFFSET('MAY-21'!$A$1,MATCH(Sheet1!A94,'MAY-21'!$A:$A,0),2,22,1),{"*Pro*ax*"},OFFSET('MAY-21'!$A$1,MATCH(Sheet1!A94,'MAY-21'!$A:$A,0),3,22,1))),0)</f>
        <v>0</v>
      </c>
      <c r="L100" s="16">
        <f ca="1">IFERROR(SUM(SUMIF(OFFSET('MAY-21'!$A$1,MATCH(Sheet1!A94,'MAY-21'!$A:$A,0),2,22,1),{"GPF_G*","DCPS"},OFFSET('MAY-21'!$A$1,MATCH(Sheet1!A94,'MAY-21'!$A:$A,0),3,22,1))),0)</f>
        <v>0</v>
      </c>
      <c r="M100" s="16">
        <f ca="1">IFERROR(SUM(SUMIF(OFFSET('MAY-21'!$A$1,MATCH(Sheet1!A94,'MAY-21'!$A:$A,0),2,22,1),{"*GIS","GIS*R"},OFFSET('MAY-21'!$A$1,MATCH(Sheet1!A94,'MAY-21'!$A:$A,0),3,22,1))),0)</f>
        <v>0</v>
      </c>
      <c r="N100" s="16">
        <f ca="1">IFERROR(SUM(SUMIF(OFFSET('MAY-21'!$A$1,MATCH(Sheet1!A94,'MAY-21'!$A:$A,0),5,22,1),{"LI*1"},OFFSET('MAY-21'!$A$1,MATCH(Sheet1!A94,'MAY-21'!$A:$A,0),6,22,1))),0)</f>
        <v>0</v>
      </c>
      <c r="O100" s="16">
        <f t="array" aca="1" ref="O100" ca="1">IFERROR(SUM(SUMIF(OFFSET('MAY-21'!$A$1,MATCH(Sheet1!A94,'MAY-21'!$A:$A,0),2,22,1),{"HB*USE","HB*INT"},OFFSET('MAY-21'!$A$1,MATCH(Sheet1!A94,'MAY-21'!$A:$A,0),3,22,1))),0)</f>
        <v>0</v>
      </c>
      <c r="P100" s="16">
        <f t="array" aca="1" ref="P100" ca="1">IFERROR(SUM(SUMIF(OFFSET('MAY-21'!$A$1,MATCH(Sheet1!A94,'MAY-21'!$A:$A,0),5,22,1),{"OTHE*1","CO.*1","OTHE*2","WEL*ND","BAN*1","CLU*ND","RD*1","LI*2","MIS*US","*TAINAN*","MCA*INT*","MAIN*NANCE*","*C M Relief Fund*","Co. Op. Hsg Soc.*","GPF_ADV*","Co. Op. Cr. Soc. 2*","DCPS DA","DCPS Pay","MCA Int"},OFFSET('MAY-21'!$A$1,MATCH(Sheet1!A94,'MAY-21'!$A:$A,0),6,22,1)))+SUM(SUMIF(OFFSET('MAY-21'!$A$1,MATCH(Sheet1!A94,'MAY-21'!$A:$A,0),2,22,1),{"MCA","COM*DV*","HB*ND","CO*SOC","HRR","SRV*H","ACC*CY","F.A","STAMP_REVENUE","*C M Relief Fund*","GPF_ADV*","Co. Op. Cr. Soc. 2*","DCPS DA","DCPS Pay","MCA Int"},OFFSET('MAY-21'!$A$1,MATCH(Sheet1!A94,'MAY-21'!$A:$A,0),3,22,1))),0)</f>
        <v>0</v>
      </c>
      <c r="Q100" s="17">
        <f t="shared" ca="1" si="19"/>
        <v>0</v>
      </c>
      <c r="R100" s="17">
        <f ca="1">IFERROR(SUM(SUMIF(OFFSET('MAY-21'!$A$1,MATCH(Sheet1!A94,'MAY-21'!$A:$A,0),2,22,1),{"*I. *ax*"},OFFSET('MAY-21'!$A$1,MATCH(Sheet1!A94,'MAY-21'!$A:$A,0),3,22,1))),0)</f>
        <v>0</v>
      </c>
      <c r="S100" s="46" t="str">
        <f t="array" aca="1" ref="S100" ca="1">+IFERROR(IF(OFFSET('MAY-21'!$B$1,MATCH(Sheet1!A94,'MAY-21'!B:B,0)-2,0,1,1)=Sheet1!J100,IF(MID(IFERROR(OFFSET('MAY-21'!$B$1,MATCH(Sheet1!A94,'MAY-21'!$B:$B,0)-1,-1,1,1),"GROSS ERROR"),11,FIND(" ",OFFSET('MAY-21'!$B$1,MATCH(Sheet1!A94,'MAY-21'!$B:$B,0)-1,-1,1,1),12)-11)-Q100=0,"","NET MISMATCH"),"GROSS MISMATCH"),"")</f>
        <v/>
      </c>
      <c r="T100" s="47"/>
      <c r="U100" s="49"/>
      <c r="V100" s="18"/>
      <c r="W100" s="7"/>
      <c r="X100" s="18"/>
      <c r="Y100" s="7"/>
      <c r="Z100" s="19"/>
      <c r="AC100" s="7"/>
      <c r="AD100" s="7"/>
      <c r="AE100" s="7"/>
      <c r="AF100" s="7"/>
      <c r="AG100" s="7"/>
      <c r="AH100" s="7"/>
      <c r="AI100" s="49"/>
      <c r="AJ100" s="49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64" t="str">
        <f>+G95</f>
        <v>PAN</v>
      </c>
      <c r="BI100" s="47" t="str">
        <f>+A94</f>
        <v/>
      </c>
      <c r="BJ100" s="18" t="str">
        <f t="array" aca="1" ref="BJ100" ca="1">IFERROR(OFFSET('MAY-21'!$B$1,MATCH(Sheet1!A94,'MAY-21'!$B:$B,0)+1,0,1,1),"")</f>
        <v/>
      </c>
      <c r="BK100" s="64">
        <f t="shared" ca="1" si="16"/>
        <v>0</v>
      </c>
      <c r="BL100" s="18">
        <f t="shared" ca="1" si="17"/>
        <v>0</v>
      </c>
      <c r="BM100" s="7" t="str">
        <f t="array" aca="1" ref="BM100" ca="1">+IFERROR(OFFSET('MAY-21'!$A$1,MATCH(Sheet1!A94,'MAY-21'!$A:$A,0)-2,0,1,1),"")</f>
        <v/>
      </c>
      <c r="BN100" s="7"/>
      <c r="BO100" s="7"/>
    </row>
    <row r="101" spans="1:67" ht="15" customHeight="1" x14ac:dyDescent="0.25">
      <c r="A101" s="14">
        <v>4</v>
      </c>
      <c r="B101" s="15">
        <v>44348</v>
      </c>
      <c r="C101" s="16">
        <f ca="1">IFERROR(SUM(SUMIF(OFFSET('JUN-21'!$A$1,MATCH(Sheet1!A94,'JUN-21'!$A:$A,0),0,22,1),{"BA*C","BASIC??"},OFFSET('JUN-21'!$A$1,MATCH(Sheet1!A94,'JUN-21'!$A:$A,0),1,22,1))),0)</f>
        <v>0</v>
      </c>
      <c r="D101" s="16">
        <f ca="1">IFERROR(SUM(SUMIF(OFFSET('JUN-21'!$A$1,MATCH(Sheet1!A94,'JUN-21'!$A:$A,0),0,22,1),{"DA*C","D. *"},OFFSET('JUN-21'!$A$1,MATCH(Sheet1!A94,'JUN-21'!$A:$A,0),1,22,1))),0)</f>
        <v>0</v>
      </c>
      <c r="E101" s="16">
        <f ca="1">IFERROR(SUM(SUMIF(OFFSET('JUN-21'!$A$1,MATCH(Sheet1!A94,'JUN-21'!$A:$A,0),0,22,1),{"H. R. A."},OFFSET('JUN-21'!$A$1,MATCH(Sheet1!A94,'JUN-21'!$A:$A,0),1,22,1))),0)</f>
        <v>0</v>
      </c>
      <c r="F101" s="16">
        <f t="array" aca="1" ref="F101" ca="1">IFERROR(SUM(SUMIF(OFFSET('JUN-21'!$A$1,MATCH(Sheet1!A94,'JUN-21'!$A:$A,0),0,22,1),{"SP*AY*","S D A*","O.A.*","CLA (5th Pay)*","REF. Allow*","Trans.Allw.*","LF*","P. O.*","ARM*","Conv.A*","Otr.Allow*","Trans_Arrear*","BMIA*","Incentives*","Fit Allow*","KMA","NON-*","U.*","ME*A","PG*","Per.Tra"},OFFSET('JUN-21'!$A$1,MATCH(Sheet1!A94,'JUN-21'!$A:$A,0),1,22,1))),0)</f>
        <v>0</v>
      </c>
      <c r="G101" s="16">
        <f ca="1">IFERROR(SUM(SUMIF(OFFSET('JUN-21'!$A$1,MATCH(Sheet1!A94,'JUN-21'!$A:$A,0),0,22,1),{"WA"},OFFSET('JUN-21'!$A$1,MATCH(Sheet1!A94,'JUN-21'!$A:$A,0),1,22,1))),0)</f>
        <v>0</v>
      </c>
      <c r="H101" s="16">
        <f ca="1">IFERROR(SUM(SUMIF(OFFSET('JUN-21'!$A$1,MATCH(Sheet1!A94,'JUN-21'!$A:$A,0),0,22,1),{"DCPS","GROSS_ADJUST"},OFFSET('JUN-21'!$A$1,MATCH(Sheet1!A94,'JUN-21'!$A:$A,0),1,22,1))),0)</f>
        <v>0</v>
      </c>
      <c r="I101" s="16">
        <f t="array" aca="1" ref="I101" ca="1">+IFERROR(SUM(SUMIF(OFFSET('JUN-21'!$A$1,MATCH(Sheet1!A94,'JUN-21'!$A:$A,0),0,22,1),{"Basic*Arr*","7th Pay* Arr*"},OFFSET('JUN-21'!$A$1,MATCH(Sheet1!A94,'JUN-21'!$A:$A,0),1,22,1))),0)</f>
        <v>0</v>
      </c>
      <c r="J101" s="16">
        <f t="shared" ca="1" si="18"/>
        <v>0</v>
      </c>
      <c r="K101" s="16">
        <f ca="1">IFERROR(SUM(SUMIF(OFFSET('JUN-21'!$A$1,MATCH(Sheet1!A94,'JUN-21'!$A:$A,0),2,22,1),{"*Pro*ax*"},OFFSET('JUN-21'!$A$1,MATCH(Sheet1!A94,'JUN-21'!$A:$A,0),3,22,1))),0)</f>
        <v>0</v>
      </c>
      <c r="L101" s="16">
        <f ca="1">IFERROR(SUM(SUMIF(OFFSET('JUN-21'!$A$1,MATCH(Sheet1!A94,'JUN-21'!$A:$A,0),2,22,1),{"GPF_G*","DCPS"},OFFSET('JUN-21'!$A$1,MATCH(Sheet1!A94,'JUN-21'!$A:$A,0),3,22,1))),0)</f>
        <v>0</v>
      </c>
      <c r="M101" s="16">
        <f ca="1">IFERROR(SUM(SUMIF(OFFSET('JUN-21'!$A$1,MATCH(Sheet1!A94,'JUN-21'!$A:$A,0),2,22,1),{"*GIS","GIS*R"},OFFSET('JUN-21'!$A$1,MATCH(Sheet1!A94,'JUN-21'!$A:$A,0),3,22,1))),0)</f>
        <v>0</v>
      </c>
      <c r="N101" s="16">
        <f ca="1">IFERROR(SUM(SUMIF(OFFSET('JUN-21'!$A$1,MATCH(Sheet1!A94,'JUN-21'!$A:$A,0),5,22,1),{"LI*1"},OFFSET('JUN-21'!$A$1,MATCH(Sheet1!A94,'JUN-21'!$A:$A,0),6,22,1))),0)</f>
        <v>0</v>
      </c>
      <c r="O101" s="16">
        <f t="array" aca="1" ref="O101" ca="1">IFERROR(SUM(SUMIF(OFFSET('JUN-21'!$A$1,MATCH(Sheet1!A94,'JUN-21'!$A:$A,0),2,22,1),{"HB*USE","HB*INT"},OFFSET('JUN-21'!$A$1,MATCH(Sheet1!A94,'JUN-21'!$A:$A,0),3,22,1))),0)</f>
        <v>0</v>
      </c>
      <c r="P101" s="16">
        <f t="array" aca="1" ref="P101" ca="1">IFERROR(SUM(SUMIF(OFFSET('JUN-21'!$A$1,MATCH(Sheet1!A94,'JUN-21'!$A:$A,0),5,22,1),{"OTHE*1","CO.*1","OTHE*2","WEL*ND","BAN*1","CLU*ND","RD*1","LI*2","MIS*US","*TAINAN*","MCA*INT*","MAIN*NANCE*","*C M Relief Fund*","Co. Op. Hsg Soc.*","GPF_ADV*","Co. Op. Cr. Soc. 2*","DCPS DA","DCPS Pay","MCA Int"},OFFSET('JUN-21'!$A$1,MATCH(Sheet1!A94,'JUN-21'!$A:$A,0),6,22,1)))+SUM(SUMIF(OFFSET('JUN-21'!$A$1,MATCH(Sheet1!A94,'JUN-21'!$A:$A,0),2,22,1),{"MCA","COM*DV*","HB*ND","CO*SOC","HRR","SRV*H","ACC*CY","F.A","STAMP_REVENUE","*C M Relief Fund*","GPF_ADV*","Co. Op. Cr. Soc. 2*","DCPS DA","DCPS Pay","MCA Int"},OFFSET('JUN-21'!$A$1,MATCH(Sheet1!A94,'JUN-21'!$A:$A,0),3,22,1))),0)</f>
        <v>0</v>
      </c>
      <c r="Q101" s="17">
        <f t="shared" ca="1" si="19"/>
        <v>0</v>
      </c>
      <c r="R101" s="17">
        <f t="array" aca="1" ref="R101" ca="1">IFERROR(SUM(SUMIF(OFFSET('JUN-21'!$A$1,MATCH(Sheet1!A94,'JUN-21'!$A:$A,0),2,22,1),{"*I. *ax*"},OFFSET('JUN-21'!$A$1,MATCH(Sheet1!A94,'JUN-21'!$A:$A,0),3,22,1))),0)</f>
        <v>0</v>
      </c>
      <c r="S101" s="46" t="str">
        <f t="array" aca="1" ref="S101" ca="1">+IFERROR(IF(OFFSET('JUN-21'!$B$1,MATCH(Sheet1!A94,'JUN-21'!B:B,0)-2,0,1,1)=Sheet1!J101,IF(MID(IFERROR(OFFSET('JUN-21'!$B$1,MATCH(Sheet1!A94,'JUN-21'!$B:$B,0)-1,-1,1,1),"GROSS ERROR"),11,FIND(" ",OFFSET('JUN-21'!$B$1,MATCH(Sheet1!A94,'JUN-21'!$B:$B,0)-1,-1,1,1),12)-11)-Q101=0,"","NET MISMATCH"),"GROSS MISMATCH"),"")</f>
        <v/>
      </c>
      <c r="T101" s="47"/>
      <c r="U101" s="49"/>
      <c r="V101" s="18"/>
      <c r="W101" s="7"/>
      <c r="X101" s="18"/>
      <c r="Y101" s="7"/>
      <c r="Z101" s="19"/>
      <c r="AC101" s="7"/>
      <c r="AD101" s="7"/>
      <c r="AE101" s="7"/>
      <c r="AF101" s="7"/>
      <c r="AG101" s="7"/>
      <c r="AH101" s="7"/>
      <c r="AI101" s="49"/>
      <c r="AJ101" s="49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64" t="str">
        <f>+G95</f>
        <v>PAN</v>
      </c>
      <c r="BI101" s="47" t="str">
        <f>+A94</f>
        <v/>
      </c>
      <c r="BJ101" s="18" t="str">
        <f t="array" aca="1" ref="BJ101" ca="1">IFERROR(OFFSET('JUN-21'!$B$1,MATCH(Sheet1!A94,'JUN-21'!$B:$B,0)+1,0,1,1),"")</f>
        <v/>
      </c>
      <c r="BK101" s="64">
        <f t="shared" ca="1" si="16"/>
        <v>0</v>
      </c>
      <c r="BL101" s="18">
        <f t="shared" ca="1" si="17"/>
        <v>0</v>
      </c>
      <c r="BM101" s="7" t="str">
        <f t="array" aca="1" ref="BM101" ca="1">IFERROR(OFFSET('JUN-21'!$A$1,MATCH(Sheet1!A94,'JUN-21'!$A:$A,0)-2,0,1,1),"")</f>
        <v/>
      </c>
      <c r="BN101" s="7"/>
      <c r="BO101" s="7"/>
    </row>
    <row r="102" spans="1:67" ht="15" customHeight="1" x14ac:dyDescent="0.25">
      <c r="A102" s="14">
        <v>5</v>
      </c>
      <c r="B102" s="15">
        <v>44378</v>
      </c>
      <c r="C102" s="16">
        <f ca="1">IFERROR(SUM(SUMIF(OFFSET('JUL-21'!$A$1,MATCH(Sheet1!A94,'JUL-21'!$A:$A,0),0,22,1),{"BA*C","BASIC??"},OFFSET('JUL-21'!$A$1,MATCH(Sheet1!A94,'JUL-21'!$A:$A,0),1,22,1))),0)</f>
        <v>0</v>
      </c>
      <c r="D102" s="16">
        <f ca="1">IFERROR(SUM(SUMIF(OFFSET('JUL-21'!$A$1,MATCH(Sheet1!A94,'JUL-21'!$A:$A,0),0,22,1),{"DA*C","D. *"},OFFSET('JUL-21'!$A$1,MATCH(Sheet1!A94,'JUL-21'!$A:$A,0),1,22,1))),0)</f>
        <v>0</v>
      </c>
      <c r="E102" s="16">
        <f ca="1">IFERROR(SUM(SUMIF(OFFSET('JUL-21'!$A$1,MATCH(Sheet1!A94,'JUL-21'!$A:$A,0),0,22,1),{"H. R. A."},OFFSET('JUL-21'!$A$1,MATCH(Sheet1!A94,'JUL-21'!$A:$A,0),1,22,1))),0)</f>
        <v>0</v>
      </c>
      <c r="F102" s="16">
        <f t="array" aca="1" ref="F102" ca="1">IFERROR(SUM(SUMIF(OFFSET('JUL-21'!$A$1,MATCH(Sheet1!A94,'JUL-21'!$A:$A,0),0,22,1),{"SP*AY*","S D A*","O.A.*","CLA (5th Pay)*","REF. Allow*","Trans.Allw.*","LF*","P. O.*","ARM*","Conv.A*","Otr.Allow*","Trans_Arrear*","BMIA*","Incentives*","Fit Allow*","KMA","NON-*","U.*","ME*A","PG*","Per.Tra"},OFFSET('JUL-21'!$A$1,MATCH(Sheet1!A94,'JUL-21'!$A:$A,0),1,22,1))),0)</f>
        <v>0</v>
      </c>
      <c r="G102" s="16">
        <f ca="1">IFERROR(SUM(SUMIF(OFFSET('JUL-21'!$A$1,MATCH(Sheet1!A94,'JUL-21'!$A:$A,0),0,22,1),{"WA"},OFFSET('JUL-21'!$A$1,MATCH(Sheet1!A94,'JUL-21'!$A:$A,0),1,22,1))),0)</f>
        <v>0</v>
      </c>
      <c r="H102" s="16">
        <f ca="1">IFERROR(SUM(SUMIF(OFFSET('JUL-21'!$A$1,MATCH(Sheet1!A94,'JUL-21'!$A:$A,0),0,22,1),{"DCPS","GROSS_ADJUST"},OFFSET('JUL-21'!$A$1,MATCH(Sheet1!A94,'JUL-21'!$A:$A,0),1,22,1))),0)</f>
        <v>0</v>
      </c>
      <c r="I102" s="16">
        <f t="array" aca="1" ref="I102" ca="1">++IFERROR(SUM(SUMIF(OFFSET('JUL-21'!$A$1,MATCH(Sheet1!A94,'JUL-21'!$A:$A,0),0,22,1),{"Basic*Arr*","7th Pay* Arr*"},OFFSET('JUL-21'!$A$1,MATCH(Sheet1!A94,'JUL-21'!$A:$A,0),1,22,1))),0)</f>
        <v>0</v>
      </c>
      <c r="J102" s="16">
        <f t="shared" ca="1" si="18"/>
        <v>0</v>
      </c>
      <c r="K102" s="16">
        <f ca="1">IFERROR(SUM(SUMIF(OFFSET('JUL-21'!$A$1,MATCH(Sheet1!A94,'JUL-21'!$A:$A,0),2,22,1),{"*Pro*ax*"},OFFSET('JUL-21'!$A$1,MATCH(Sheet1!A94,'JUL-21'!$A:$A,0),3,22,1))),0)</f>
        <v>0</v>
      </c>
      <c r="L102" s="16">
        <f ca="1">IFERROR(SUM(SUMIF(OFFSET('JUL-21'!$A$1,MATCH(Sheet1!A94,'JUL-21'!$A:$A,0),2,22,1),{"GPF_G*","DCPS"},OFFSET('JUL-21'!$A$1,MATCH(Sheet1!A94,'JUL-21'!$A:$A,0),3,22,1))),0)</f>
        <v>0</v>
      </c>
      <c r="M102" s="16">
        <f ca="1">IFERROR(SUM(SUMIF(OFFSET('JUL-21'!$A$1,MATCH(Sheet1!A94,'JUL-21'!$A:$A,0),2,22,1),{"*GIS","GIS*R"},OFFSET('JUL-21'!$A$1,MATCH(Sheet1!A94,'JUL-21'!$A:$A,0),3,22,1))),0)</f>
        <v>0</v>
      </c>
      <c r="N102" s="16">
        <f ca="1">IFERROR(SUM(SUMIF(OFFSET('JUL-21'!$A$1,MATCH(Sheet1!A94,'JUL-21'!$A:$A,0),5,22,1),{"LI*1"},OFFSET('JUL-21'!$A$1,MATCH(Sheet1!A94,'JUL-21'!$A:$A,0),6,22,1))),0)</f>
        <v>0</v>
      </c>
      <c r="O102" s="16">
        <f t="array" aca="1" ref="O102" ca="1">IFERROR(SUM(SUMIF(OFFSET('JUL-21'!$A$1,MATCH(Sheet1!A94,'JUL-21'!$A:$A,0),2,22,1),{"HB*USE","HB*INT"},OFFSET('JUL-21'!$A$1,MATCH(Sheet1!A94,'JUL-21'!$A:$A,0),3,22,1))),0)</f>
        <v>0</v>
      </c>
      <c r="P102" s="16">
        <f t="array" aca="1" ref="P102" ca="1">IFERROR(SUM(SUMIF(OFFSET('JUL-21'!$A$1,MATCH(Sheet1!A94,'JUL-21'!$A:$A,0),5,22,1),{"OTHE*1","CO.*1","OTHE*2","WEL*ND","BAN*1","CLU*ND","RD*1","LI*2","MIS*US","*TAINAN*","MCA*INT*","MAIN*NANCE*","*C M Relief Fund*","Co. Op. Hsg Soc.*","GPF_ADV*","Co. Op. Cr. Soc. 2*","DCPS DA","DCPS Pay","MCA Int"},OFFSET('JUL-21'!$A$1,MATCH(Sheet1!A94,'JUL-21'!$A:$A,0),6,22,1)))+SUM(SUMIF(OFFSET('JUL-21'!$A$1,MATCH(Sheet1!A94,'JUL-21'!$A:$A,0),2,22,1),{"MCA","COM*DV*","HB*ND","CO*SOC","HRR","SRV*H","ACC*CY","F.A","STAMP_REVENUE","*C M Relief Fund*","GPF_ADV*","Co. Op. Cr. Soc. 2*","DCPS DA","DCPS Pay","MCA Int"},OFFSET('JUL-21'!$A$1,MATCH(Sheet1!A94,'JUL-21'!$A:$A,0),3,22,1))),0)</f>
        <v>0</v>
      </c>
      <c r="Q102" s="17">
        <f t="shared" ca="1" si="19"/>
        <v>0</v>
      </c>
      <c r="R102" s="17">
        <f ca="1">IFERROR(SUM(SUMIF(OFFSET('JUL-21'!$A$1,MATCH(Sheet1!A94,'JUL-21'!$A:$A,0),2,22,1),{"*I. *ax*"},OFFSET('JUL-21'!$A$1,MATCH(Sheet1!A94,'JUL-21'!$A:$A,0),3,22,1))),0)</f>
        <v>0</v>
      </c>
      <c r="S102" s="46" t="str">
        <f t="array" aca="1" ref="S102" ca="1">+IFERROR(IF(OFFSET('JUL-21'!$B$1,MATCH(Sheet1!A94,'JUL-21'!B:B,0)-2,0,1,1)=Sheet1!J102,IF(MID(IFERROR(OFFSET('JUL-21'!$B$1,MATCH(Sheet1!A94,'JUL-21'!$B:$B,0)-1,-1,1,1),"GROSS ERROR"),11,FIND(" ",OFFSET('JUL-21'!$B$1,MATCH(Sheet1!A94,'JUL-21'!$B:$B,0)-1,-1,1,1),12)-11)-Q102=0,"","NET MISMATCH"),"GROSS MISMATCH"),"")</f>
        <v/>
      </c>
      <c r="T102" s="47"/>
      <c r="U102" s="49"/>
      <c r="V102" s="18"/>
      <c r="W102" s="7"/>
      <c r="X102" s="18"/>
      <c r="Y102" s="7"/>
      <c r="Z102" s="19"/>
      <c r="AC102" s="7"/>
      <c r="AD102" s="7"/>
      <c r="AE102" s="7"/>
      <c r="AF102" s="7"/>
      <c r="AG102" s="7"/>
      <c r="AH102" s="7"/>
      <c r="AI102" s="49"/>
      <c r="AJ102" s="49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64" t="str">
        <f>+G95</f>
        <v>PAN</v>
      </c>
      <c r="BI102" s="47" t="str">
        <f>+A94</f>
        <v/>
      </c>
      <c r="BJ102" s="18" t="str">
        <f t="array" aca="1" ref="BJ102" ca="1">+IFERROR(OFFSET('JUL-21'!$B$1,MATCH(Sheet1!A94,'JUL-21'!$B:$B,0)+1,0,1,1),"")</f>
        <v/>
      </c>
      <c r="BK102" s="64">
        <f t="shared" ca="1" si="16"/>
        <v>0</v>
      </c>
      <c r="BL102" s="18">
        <f t="shared" ca="1" si="17"/>
        <v>0</v>
      </c>
      <c r="BM102" s="7" t="str">
        <f t="array" aca="1" ref="BM102" ca="1">IFERROR(OFFSET('JUL-21'!$A$1,MATCH(Sheet1!A94,'JUL-21'!$A:$A,0)-2,0,1,1),"")</f>
        <v/>
      </c>
      <c r="BN102" s="7"/>
      <c r="BO102" s="7"/>
    </row>
    <row r="103" spans="1:67" ht="15" customHeight="1" x14ac:dyDescent="0.25">
      <c r="A103" s="14">
        <v>6</v>
      </c>
      <c r="B103" s="15">
        <v>44409</v>
      </c>
      <c r="C103" s="16">
        <f ca="1">IFERROR(SUM(SUMIF(OFFSET('AUG-21'!$A$1,MATCH(Sheet1!A94,'AUG-21'!$A:$A,0),0,22,1),{"BA*C","BASIC??"},OFFSET('AUG-21'!$A$1,MATCH(Sheet1!A94,'AUG-21'!$A:$A,0),1,22,1))),0)</f>
        <v>0</v>
      </c>
      <c r="D103" s="16">
        <f ca="1">IFERROR(SUM(SUMIF(OFFSET('AUG-21'!$A$1,MATCH(Sheet1!A94,'AUG-21'!$A:$A,0),0,22,1),{"DA*C","D. *"},OFFSET('AUG-21'!$A$1,MATCH(Sheet1!A94,'AUG-21'!$A:$A,0),1,22,1))),0)</f>
        <v>0</v>
      </c>
      <c r="E103" s="16">
        <f ca="1">IFERROR(SUM(SUMIF(OFFSET('AUG-21'!$A$1,MATCH(Sheet1!A94,'AUG-21'!$A:$A,0),0,22,1),{"H. R. A."},OFFSET('AUG-21'!$A$1,MATCH(Sheet1!A94,'AUG-21'!$A:$A,0),1,22,1))),0)</f>
        <v>0</v>
      </c>
      <c r="F103" s="16">
        <f t="array" aca="1" ref="F103" ca="1">IFERROR(SUM(SUMIF(OFFSET('AUG-21'!$A$1,MATCH(Sheet1!A94,'AUG-21'!$A:$A,0),0,22,1),{"SP*AY*","S D A*","O.A.*","CLA (5th Pay)*","REF. Allow*","Trans.Allw.*","LF*","P. O.*","ARM*","Conv.A*","Otr.Allow*","Trans_Arrear*","BMIA*","Incentives*","Fit Allow*","KMA","NON-*","U.*","ME*A","PG*","Per.Tra"},OFFSET('AUG-21'!$A$1,MATCH(Sheet1!A94,'AUG-21'!$A:$A,0),1,22,1))),0)</f>
        <v>0</v>
      </c>
      <c r="G103" s="16">
        <f ca="1">IFERROR(SUM(SUMIF(OFFSET('AUG-21'!$A$1,MATCH(Sheet1!A94,'AUG-21'!$A:$A,0),0,22,1),{"WA"},OFFSET('AUG-21'!$A$1,MATCH(Sheet1!A94,'AUG-21'!$A:$A,0),1,22,1))),0)</f>
        <v>0</v>
      </c>
      <c r="H103" s="16">
        <f ca="1">IFERROR(SUM(SUMIF(OFFSET('AUG-21'!$A$1,MATCH(Sheet1!A94,'AUG-21'!$A:$A,0),0,22,1),{"DCPS","GROSS_ADJUST"},OFFSET('AUG-21'!$A$1,MATCH(Sheet1!A94,'AUG-21'!$A:$A,0),1,22,1))),0)</f>
        <v>0</v>
      </c>
      <c r="I103" s="16">
        <f t="array" aca="1" ref="I103" ca="1">+IFERROR(SUM(SUMIF(OFFSET('AUG-21'!$A$1,MATCH(Sheet1!A94,'AUG-21'!$A:$A,0),0,22,1),{"7th Pay* Arr*","Basic Arr*","DA Arr"},OFFSET('AUG-21'!$A$1,MATCH(Sheet1!A94,'AUG-21'!$A:$A,0),1,22,1))),0)</f>
        <v>0</v>
      </c>
      <c r="J103" s="16">
        <f t="shared" ca="1" si="18"/>
        <v>0</v>
      </c>
      <c r="K103" s="16">
        <f ca="1">IFERROR(SUM(SUMIF(OFFSET('AUG-21'!$A$1,MATCH(Sheet1!A94,'AUG-21'!$A:$A,0),2,22,1),{"*Pro*ax*"},OFFSET('AUG-21'!$A$1,MATCH(Sheet1!A94,'AUG-21'!$A:$A,0),3,22,1))),0)</f>
        <v>0</v>
      </c>
      <c r="L103" s="16">
        <f ca="1">IFERROR(SUM(SUMIF(OFFSET('AUG-21'!$A$1,MATCH(Sheet1!A94,'AUG-21'!$A:$A,0),2,22,1),{"GPF_G*","DCPS","*7thPay GP*"},OFFSET('AUG-21'!$A$1,MATCH(Sheet1!A94,'AUG-21'!$A:$A,0),3,22,1))),0)</f>
        <v>0</v>
      </c>
      <c r="M103" s="16">
        <f ca="1">IFERROR(SUM(SUMIF(OFFSET('AUG-21'!$A$1,MATCH(Sheet1!A94,'AUG-21'!$A:$A,0),2,22,1),{"*GIS","GIS*R"},OFFSET('AUG-21'!$A$1,MATCH(Sheet1!A94,'AUG-21'!$A:$A,0),3,22,1))),0)</f>
        <v>0</v>
      </c>
      <c r="N103" s="16">
        <f ca="1">IFERROR(SUM(SUMIF(OFFSET('AUG-21'!$A$1,MATCH(Sheet1!A94,'AUG-21'!$A:$A,0),5,22,1),{"LI*1"},OFFSET('AUG-21'!$A$1,MATCH(Sheet1!A94,'AUG-21'!$A:$A,0),6,22,1))),0)</f>
        <v>0</v>
      </c>
      <c r="O103" s="16">
        <f t="array" aca="1" ref="O103" ca="1">IFERROR(SUM(SUMIF(OFFSET('AUG-21'!$A$1,MATCH(Sheet1!A94,'AUG-21'!$A:$A,0),2,22,1),{"HB*USE","HB*INT"},OFFSET('AUG-21'!$A$1,MATCH(Sheet1!A94,'AUG-21'!$A:$A,0),3,22,1))),0)</f>
        <v>0</v>
      </c>
      <c r="P103" s="16">
        <f t="array" aca="1" ref="P103" ca="1">IFERROR(SUM(SUMIF(OFFSET('AUG-21'!$A$1,MATCH(Sheet1!A94,'AUG-21'!$A:$A,0),5,22,1),{"OTHE*1","CO.*1","OTHE*2","WEL*ND","BAN*1","CLU*ND","RD*1","LI*2","MIS*US","*TAINAN*","MCA*INT*","MAIN*NANCE*","*C M Relief Fund*","Co. Op. Hsg Soc.*","GPF_ADV*","Co. Op. Cr. Soc. 2*","DCPS DA","DCPS Pay","MCA Int"},OFFSET('AUG-21'!$A$1,MATCH(Sheet1!A94,'AUG-21'!$A:$A,0),6,22,1)))+SUM(SUMIF(OFFSET('AUG-21'!$A$1,MATCH(Sheet1!A94,'AUG-21'!$A:$A,0),2,22,1),{"MCA","COM*DV*","HB*ND","CO*SOC","HRR","SRV*H","ACC*CY","F.A","STAMP_REVENUE","*C M Relief Fund*","GPF_ADV*","Co. Op. Cr. Soc. 2*","DCPS DA","DCPS Pay","MCA Int"},OFFSET('AUG-21'!$A$1,MATCH(Sheet1!A94,'AUG-21'!$A:$A,0),3,22,1))),0)</f>
        <v>0</v>
      </c>
      <c r="Q103" s="17">
        <f t="shared" ca="1" si="19"/>
        <v>0</v>
      </c>
      <c r="R103" s="17">
        <f t="array" aca="1" ref="R103" ca="1">IFERROR(SUM(SUMIF(OFFSET('AUG-21'!$A$1,MATCH(Sheet1!A94,'AUG-21'!$A:$A,0),2,22,1),{"*I. *ax*"},OFFSET('AUG-21'!$A$1,MATCH(Sheet1!A94,'AUG-21'!$A:$A,0),3,22,1))),0)</f>
        <v>0</v>
      </c>
      <c r="S103" s="46" t="str">
        <f t="array" aca="1" ref="S103" ca="1">+IFERROR(IF(OFFSET('AUG-21'!$B$1,MATCH(Sheet1!A94,'AUG-21'!B:B,0)-2,0,1,1)=Sheet1!J103,IF(MID(IFERROR(OFFSET('AUG-21'!$B$1,MATCH(Sheet1!A94,'AUG-21'!$B:$B,0)-1,-1,1,1),"GROSS ERROR"),11,FIND(" ",OFFSET('AUG-21'!$B$1,MATCH(Sheet1!A94,'AUG-21'!$B:$B,0)-1,-1,1,1),12)-11)-Q103=0,"","NET MISMATCH"),"GROSS MISMATCH"),"")</f>
        <v/>
      </c>
      <c r="T103" s="47"/>
      <c r="U103" s="49"/>
      <c r="V103" s="18"/>
      <c r="W103" s="7"/>
      <c r="X103" s="18"/>
      <c r="Y103" s="7"/>
      <c r="Z103" s="19"/>
      <c r="AC103" s="7"/>
      <c r="AD103" s="7"/>
      <c r="AE103" s="7"/>
      <c r="AF103" s="7"/>
      <c r="AG103" s="7"/>
      <c r="AH103" s="7"/>
      <c r="AI103" s="49"/>
      <c r="AJ103" s="49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64" t="str">
        <f>+G95</f>
        <v>PAN</v>
      </c>
      <c r="BI103" s="47" t="str">
        <f>+A94</f>
        <v/>
      </c>
      <c r="BJ103" s="18" t="str">
        <f t="array" aca="1" ref="BJ103" ca="1">IFERROR(OFFSET('AUG-21'!$B$1,MATCH(Sheet1!A94,'AUG-21'!$B:$B,0)+1,0,1,1),"")</f>
        <v/>
      </c>
      <c r="BK103" s="64">
        <f t="shared" ca="1" si="16"/>
        <v>0</v>
      </c>
      <c r="BL103" s="18">
        <f t="shared" ca="1" si="17"/>
        <v>0</v>
      </c>
      <c r="BM103" s="7" t="str">
        <f t="array" aca="1" ref="BM103" ca="1">IFERROR(OFFSET('AUG-21'!$A$1,MATCH(Sheet1!A94,'AUG-21'!$A:$A,0)-2,0,1,1),"")</f>
        <v/>
      </c>
      <c r="BN103" s="7"/>
      <c r="BO103" s="7"/>
    </row>
    <row r="104" spans="1:67" ht="15" customHeight="1" x14ac:dyDescent="0.25">
      <c r="A104" s="14">
        <v>7</v>
      </c>
      <c r="B104" s="15">
        <v>44440</v>
      </c>
      <c r="C104" s="16">
        <f ca="1">IFERROR(SUM(SUMIF(OFFSET('SEP-21'!$A$1,MATCH(Sheet1!A94,'SEP-21'!$A:$A,0),0,22,1),{"BA*C","BASIC??"},OFFSET('SEP-21'!$A$1,MATCH(Sheet1!A94,'SEP-21'!$A:$A,0),1,22,1))),0)</f>
        <v>0</v>
      </c>
      <c r="D104" s="16">
        <f ca="1">IFERROR(SUM(SUMIF(OFFSET('SEP-21'!$A$1,MATCH(Sheet1!A94,'SEP-21'!$A:$A,0),0,22,1),{"DA*C","D. *"},OFFSET('SEP-21'!$A$1,MATCH(Sheet1!A94,'SEP-21'!$A:$A,0),1,22,1))),0)</f>
        <v>0</v>
      </c>
      <c r="E104" s="16">
        <f ca="1">IFERROR(SUM(SUMIF(OFFSET('SEP-21'!$A$1,MATCH(Sheet1!A94,'SEP-21'!$A:$A,0),0,22,1),{"H. R. A."},OFFSET('SEP-21'!$A$1,MATCH(Sheet1!A94,'SEP-21'!$A:$A,0),1,22,1))),0)</f>
        <v>0</v>
      </c>
      <c r="F104" s="16">
        <f t="array" aca="1" ref="F104" ca="1">IFERROR(SUM(SUMIF(OFFSET('SEP-21'!$A$1,MATCH(Sheet1!A94,'SEP-21'!$A:$A,0),0,22,1),{"SP*AY*","S D A*","O.A.*","CLA (5th Pay)*","REF. Allow*","Trans.Allw.*","LF*","P. O.*","ARM*","Conv.A*","Otr.Allow*","Trans_Arrear*","BMIA*","Incentives*","Fit Allow*","KMA","NON-*","U.*","ME*A","PG*","Per.Tra"},OFFSET('SEP-21'!$A$1,MATCH(Sheet1!A94,'SEP-21'!$A:$A,0),1,22,1))),0)</f>
        <v>0</v>
      </c>
      <c r="G104" s="16">
        <f ca="1">IFERROR(SUM(SUMIF(OFFSET('SEP-21'!$A$1,MATCH(Sheet1!A94,'SEP-21'!$A:$A,0),0,22,1),{"WA"},OFFSET('SEP-21'!$A$1,MATCH(Sheet1!A94,'SEP-21'!$A:$A,0),1,22,1))),0)</f>
        <v>0</v>
      </c>
      <c r="H104" s="16">
        <f ca="1">IFERROR(SUM(SUMIF(OFFSET('SEP-21'!$A$1,MATCH(Sheet1!A94,'SEP-21'!$A:$A,0),0,22,1),{"DCPS","GROSS_ADJUST"},OFFSET('SEP-21'!$A$1,MATCH(Sheet1!A94,'SEP-21'!$A:$A,0),1,22,1))),0)</f>
        <v>0</v>
      </c>
      <c r="I104" s="16">
        <f t="array" aca="1" ref="I104" ca="1">++IFERROR(SUM(SUMIF(OFFSET('SEP-21'!$A$1,MATCH(Sheet1!A94,'SEP-21'!$A:$A,0),0,22,1),{"Basic*Arr*","7th Pay* Arr*"},OFFSET('SEP-21'!$A$1,MATCH(Sheet1!A94,'SEP-21'!$A:$A,0),1,22,1))),0)</f>
        <v>0</v>
      </c>
      <c r="J104" s="16">
        <f t="shared" ca="1" si="18"/>
        <v>0</v>
      </c>
      <c r="K104" s="16">
        <f ca="1">IFERROR(SUM(SUMIF(OFFSET('SEP-21'!$A$1,MATCH(Sheet1!A94,'SEP-21'!$A:$A,0),2,22,1),{"*Pro*ax*"},OFFSET('SEP-21'!$A$1,MATCH(Sheet1!A94,'SEP-21'!$A:$A,0),3,22,1))),0)</f>
        <v>0</v>
      </c>
      <c r="L104" s="16">
        <f ca="1">IFERROR(SUM(SUMIF(OFFSET('SEP-21'!$A$1,MATCH(Sheet1!A94,'SEP-21'!$A:$A,0),2,22,1),{"GPF_G*","DCPS"},OFFSET('SEP-21'!$A$1,MATCH(Sheet1!A94,'SEP-21'!$A:$A,0),3,22,1))),0)</f>
        <v>0</v>
      </c>
      <c r="M104" s="16">
        <f ca="1">IFERROR(SUM(SUMIF(OFFSET('SEP-21'!$A$1,MATCH(Sheet1!A94,'SEP-21'!$A:$A,0),2,22,1),{"*GIS","GIS*R"},OFFSET('SEP-21'!$A$1,MATCH(Sheet1!A94,'SEP-21'!$A:$A,0),3,22,1))),0)</f>
        <v>0</v>
      </c>
      <c r="N104" s="16">
        <f ca="1">IFERROR(SUM(SUMIF(OFFSET('SEP-21'!$A$1,MATCH(Sheet1!A94,'SEP-21'!$A:$A,0),5,22,1),{"LI*1"},OFFSET('SEP-21'!$A$1,MATCH(Sheet1!A94,'SEP-21'!$A:$A,0),6,22,1))),0)</f>
        <v>0</v>
      </c>
      <c r="O104" s="16">
        <f t="array" aca="1" ref="O104" ca="1">IFERROR(SUM(SUMIF(OFFSET('SEP-21'!$A$1,MATCH(Sheet1!A94,'SEP-21'!$A:$A,0),2,22,1),{"HB*USE","HB*INT"},OFFSET('SEP-21'!$A$1,MATCH(Sheet1!A94,'SEP-21'!$A:$A,0),3,22,1))),0)</f>
        <v>0</v>
      </c>
      <c r="P104" s="16">
        <f t="array" aca="1" ref="P104" ca="1">IFERROR(SUM(SUMIF(OFFSET('SEP-21'!$A$1,MATCH(Sheet1!A94,'SEP-21'!$A:$A,0),5,22,1),{"OTHE*1","CO.*1","OTHE*2","WEL*ND","BAN*1","CLU*ND","RD*1","LI*2","MIS*US","*TAINAN*","MCA*INT*","MAIN*NANCE*","*C M Relief Fund*","Co. Op. Hsg Soc.*","GPF_ADV*","Co. Op. Cr. Soc. 2*","DCPS DA","DCPS Pay","MCA Int"},OFFSET('SEP-21'!$A$1,MATCH(Sheet1!A94,'SEP-21'!$A:$A,0),6,22,1)))+SUM(SUMIF(OFFSET('SEP-21'!$A$1,MATCH(Sheet1!A94,'SEP-21'!$A:$A,0),2,22,1),{"MCA","COM*DV*","HB*ND","CO*SOC","HRR","SRV*H","ACC*CY","F.A","STAMP_REVENUE","*C M Relief Fund*","GPF_ADV*","Co. Op. Cr. Soc. 2*","DCPS DA","DCPS Pay","MCA Int"},OFFSET('SEP-21'!$A$1,MATCH(Sheet1!A94,'SEP-21'!$A:$A,0),3,22,1))),0)</f>
        <v>0</v>
      </c>
      <c r="Q104" s="17">
        <f t="shared" ref="Q104:Q110" ca="1" si="20">+J104-H104-K104-L104-M104-N104-O104-P104-R104</f>
        <v>0</v>
      </c>
      <c r="R104" s="17">
        <f t="array" aca="1" ref="R104" ca="1">IFERROR(SUM(SUMIF(OFFSET('SEP-21'!$A$1,MATCH(Sheet1!A94,'SEP-21'!$A:$A,0),2,22,1),{"*I. *ax*"},OFFSET('SEP-21'!$A$1,MATCH(Sheet1!A94,'SEP-21'!$A:$A,0),3,22,1))),0)</f>
        <v>0</v>
      </c>
      <c r="S104" s="46" t="str">
        <f t="array" aca="1" ref="S104" ca="1">+IFERROR(IF(OFFSET('SEP-21'!$B$1,MATCH(Sheet1!A94,'SEP-21'!B:B,0)-2,0,1,1)=Sheet1!J104,IF(MID(IFERROR(OFFSET('SEP-21'!$B$1,MATCH(Sheet1!A94,'SEP-21'!$B:$B,0)-1,-1,1,1),"GROSS ERROR"),11,FIND(" ",OFFSET('SEP-21'!$B$1,MATCH(Sheet1!A94,'SEP-21'!$B:$B,0)-1,-1,1,1),12)-11)-Q104=0,"","NET MISMATCH"),"GROSS MISMATCH"),"")</f>
        <v/>
      </c>
      <c r="T104" s="47"/>
      <c r="U104" s="49"/>
      <c r="V104" s="18"/>
      <c r="W104" s="7"/>
      <c r="X104" s="18"/>
      <c r="Y104" s="7"/>
      <c r="Z104" s="19"/>
      <c r="AC104" s="7"/>
      <c r="AD104" s="7"/>
      <c r="AE104" s="7"/>
      <c r="AF104" s="7"/>
      <c r="AG104" s="7"/>
      <c r="AH104" s="7"/>
      <c r="AI104" s="49"/>
      <c r="AJ104" s="49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64" t="str">
        <f>+G95</f>
        <v>PAN</v>
      </c>
      <c r="BI104" s="47" t="str">
        <f>+A94</f>
        <v/>
      </c>
      <c r="BJ104" s="18" t="str">
        <f t="array" aca="1" ref="BJ104" ca="1">IFERROR(OFFSET('SEP-21'!$B$1,MATCH(Sheet1!A94,'SEP-21'!$B:$B,0)+1,0,1,1),"")</f>
        <v/>
      </c>
      <c r="BK104" s="64">
        <f t="shared" ca="1" si="16"/>
        <v>0</v>
      </c>
      <c r="BL104" s="18">
        <f t="shared" ca="1" si="17"/>
        <v>0</v>
      </c>
      <c r="BM104" s="7" t="str">
        <f t="array" aca="1" ref="BM104" ca="1">IFERROR(OFFSET('SEP-21'!$A$1,MATCH(Sheet1!A94,'SEP-21'!$A:$A,0)-2,0,1,1),"")</f>
        <v/>
      </c>
      <c r="BN104" s="7"/>
      <c r="BO104" s="7"/>
    </row>
    <row r="105" spans="1:67" ht="15" customHeight="1" x14ac:dyDescent="0.25">
      <c r="A105" s="14">
        <v>8</v>
      </c>
      <c r="B105" s="15">
        <v>44470</v>
      </c>
      <c r="C105" s="16">
        <f ca="1">IFERROR(SUM(SUMIF(OFFSET('OCT-21'!$A$1,MATCH(Sheet1!A94,'OCT-21'!$A:$A,0),0,22,1),{"BA*C","BASIC??"},OFFSET('OCT-21'!$A$1,MATCH(Sheet1!A94,'OCT-21'!$A:$A,0),1,22,1))),0)</f>
        <v>0</v>
      </c>
      <c r="D105" s="16">
        <f ca="1">IFERROR(SUM(SUMIF(OFFSET('OCT-21'!$A$1,MATCH(Sheet1!A94,'OCT-21'!$A:$A,0),0,22,1),{"DA*C","D. *"},OFFSET('OCT-21'!$A$1,MATCH(Sheet1!A94,'OCT-21'!$A:$A,0),1,22,1))),0)</f>
        <v>0</v>
      </c>
      <c r="E105" s="16">
        <f ca="1">IFERROR(SUM(SUMIF(OFFSET('OCT-21'!$A$1,MATCH(Sheet1!A94,'OCT-21'!$A:$A,0),0,22,1),{"H. R. A."},OFFSET('OCT-21'!$A$1,MATCH(Sheet1!A94,'OCT-21'!$A:$A,0),1,22,1))),0)</f>
        <v>0</v>
      </c>
      <c r="F105" s="16">
        <f t="array" aca="1" ref="F105" ca="1">IFERROR(SUM(SUMIF(OFFSET('OCT-21'!$A$1,MATCH(Sheet1!A94,'OCT-21'!$A:$A,0),0,22,1),{"SP*AY*","S D A*","O.A.*","CLA (5th Pay)*","REF. Allow*","Trans.Allw.*","LF*","P. O.*","ARM*","Conv.A*","Otr.Allow*","Trans_Arrear*","BMIA*","Incentives*","Fit Allow*","KMA","NON-*","U.*","ME*A","PG*","Per.Tra"},OFFSET('OCT-21'!$A$1,MATCH(Sheet1!A94,'OCT-21'!$A:$A,0),1,22,1))),0)</f>
        <v>0</v>
      </c>
      <c r="G105" s="16">
        <f ca="1">IFERROR(SUM(SUMIF(OFFSET('OCT-21'!$A$1,MATCH(Sheet1!A94,'OCT-21'!$A:$A,0),0,22,1),{"WA"},OFFSET('OCT-21'!$A$1,MATCH(Sheet1!A94,'OCT-21'!$A:$A,0),1,22,1))),0)</f>
        <v>0</v>
      </c>
      <c r="H105" s="16">
        <f ca="1">IFERROR(SUM(SUMIF(OFFSET('OCT-21'!$A$1,MATCH(Sheet1!A94,'OCT-21'!$A:$A,0),0,22,1),{"DCPS","GROSS_ADJUST"},OFFSET('OCT-21'!$A$1,MATCH(Sheet1!A94,'OCT-21'!$A:$A,0),1,22,1))),0)</f>
        <v>0</v>
      </c>
      <c r="I105" s="16">
        <f t="array" aca="1" ref="I105" ca="1">+IFERROR(SUM(SUMIF(OFFSET('OCT-21'!$A$1,MATCH(Sheet1!A94,'OCT-21'!$A:$A,0),0,22,1),{"Basic*Arr*","7th Pay* Arr*","DA Arr"},OFFSET('OCT-21'!$A$1,MATCH(Sheet1!A94,'OCT-21'!$A:$A,0),1,22,1))),0)</f>
        <v>0</v>
      </c>
      <c r="J105" s="16">
        <f t="shared" ca="1" si="18"/>
        <v>0</v>
      </c>
      <c r="K105" s="16">
        <f ca="1">IFERROR(SUM(SUMIF(OFFSET('OCT-21'!$A$1,MATCH(Sheet1!A94,'OCT-21'!$A:$A,0),2,22,1),{"*Pro*ax*"},OFFSET('OCT-21'!$A$1,MATCH(Sheet1!A94,'OCT-21'!$A:$A,0),3,22,1))),0)</f>
        <v>0</v>
      </c>
      <c r="L105" s="16">
        <f t="array" aca="1" ref="L105" ca="1">IFERROR(SUM(SUMIF(OFFSET('OCT-21'!$A$1,MATCH(Sheet1!A94,'OCT-21'!$A:$A,0),2,22,1),{"GPF_G*","DCPS","DCPS DA*"},OFFSET('OCT-21'!$A$1,MATCH(Sheet1!A94,'OCT-21'!$A:$A,0),3,22,1))),0)</f>
        <v>0</v>
      </c>
      <c r="M105" s="16">
        <f ca="1">IFERROR(SUM(SUMIF(OFFSET('OCT-21'!$A$1,MATCH(Sheet1!A94,'OCT-21'!$A:$A,0),2,22,1),{"*GIS","GIS*R"},OFFSET('OCT-21'!$A$1,MATCH(Sheet1!A94,'OCT-21'!$A:$A,0),3,22,1))),0)</f>
        <v>0</v>
      </c>
      <c r="N105" s="16">
        <f ca="1">IFERROR(SUM(SUMIF(OFFSET('OCT-21'!$A$1,MATCH(Sheet1!A94,'OCT-21'!$A:$A,0),5,22,1),{"LI*1"},OFFSET('OCT-21'!$A$1,MATCH(Sheet1!A94,'OCT-21'!$A:$A,0),6,22,1))),0)</f>
        <v>0</v>
      </c>
      <c r="O105" s="16">
        <f t="array" aca="1" ref="O105" ca="1">IFERROR(SUM(SUMIF(OFFSET('OCT-21'!$A$1,MATCH(Sheet1!A94,'OCT-21'!$A:$A,0),2,22,1),{"HB*USE","HB*INT"},OFFSET('OCT-21'!$A$1,MATCH(Sheet1!A94,'OCT-21'!$A:$A,0),3,22,1))),0)</f>
        <v>0</v>
      </c>
      <c r="P105" s="16">
        <f t="array" aca="1" ref="P105" ca="1">IFERROR(SUM(SUMIF(OFFSET('OCT-21'!$A$1,MATCH(Sheet1!A94,'OCT-21'!$A:$A,0),5,22,1),{"OTHE*1","CO.*1","OTHE*2","WEL*ND","BAN*1","CLU*ND","RD*1","LI*2","MIS*US","*TAINAN*","MCA*INT*","MAIN*NANCE*","*C M Relief Fund*","Co. Op. Hsg Soc.*","GPF_ADV*","Co. Op. Cr. Soc. 2*","DCPS Pay"},OFFSET('OCT-21'!$A$1,MATCH(Sheet1!A94,'OCT-21'!$A:$A,0),6,22,1)))+SUM(SUMIF(OFFSET('OCT-21'!$A$1,MATCH(Sheet1!A94,'OCT-21'!$A:$A,0),2,22,1),{"MCA","COM*DV*","HB*ND","CO*SOC","HRR","SRV*H","ACC*CY","F.A","STAMP_REVENUE","*C M Relief Fund*","GPF_ADV*","Co. Op. Cr. Soc. 2*","DCPS Pay"},OFFSET('OCT-21'!$A$1,MATCH(Sheet1!A94,'OCT-21'!$A:$A,0),3,22,1))),0)</f>
        <v>0</v>
      </c>
      <c r="Q105" s="17">
        <f t="shared" ca="1" si="20"/>
        <v>0</v>
      </c>
      <c r="R105" s="17">
        <f t="array" aca="1" ref="R105" ca="1">IFERROR(SUM(SUMIF(OFFSET('OCT-21'!$A$1,MATCH(Sheet1!A94,'OCT-21'!$A:$A,0),2,22,1),{"*I. *ax*"},OFFSET('OCT-21'!$A$1,MATCH(Sheet1!A94,'OCT-21'!$A:$A,0),3,22,1))),0)</f>
        <v>0</v>
      </c>
      <c r="S105" s="46" t="str">
        <f t="array" aca="1" ref="S105" ca="1">+IFERROR(IF(OFFSET('OCT-21'!$B$1,MATCH(Sheet1!A94,'OCT-21'!B:B,0)-2,0,1,1)=Sheet1!J105,IF(MID(IFERROR(OFFSET('OCT-21'!$B$1,MATCH(Sheet1!A94,'OCT-21'!$B:$B,0)-1,-1,1,1),"GROSS ERROR"),11,FIND(" ",OFFSET('OCT-21'!$B$1,MATCH(Sheet1!A94,'OCT-21'!$B:$B,0)-1,-1,1,1),12)-11)-Q105=0,"","NET MISMATCH"),"GROSS MISMATCH"),"")</f>
        <v/>
      </c>
      <c r="T105" s="47"/>
      <c r="U105" s="49"/>
      <c r="V105" s="18"/>
      <c r="W105" s="7"/>
      <c r="X105" s="18"/>
      <c r="Y105" s="7"/>
      <c r="Z105" s="19"/>
      <c r="AC105" s="7"/>
      <c r="AD105" s="7"/>
      <c r="AE105" s="7"/>
      <c r="AF105" s="7"/>
      <c r="AG105" s="7"/>
      <c r="AH105" s="7"/>
      <c r="AI105" s="49"/>
      <c r="AJ105" s="49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64" t="str">
        <f>+G95</f>
        <v>PAN</v>
      </c>
      <c r="BI105" s="47" t="str">
        <f>+A94</f>
        <v/>
      </c>
      <c r="BJ105" s="18" t="str">
        <f t="array" aca="1" ref="BJ105" ca="1">+IFERROR(OFFSET('OCT-21'!$B$1,MATCH(Sheet1!A94,'OCT-21'!$B:$B,0)+1,0,1,1),"")</f>
        <v/>
      </c>
      <c r="BK105" s="64">
        <f t="shared" ca="1" si="16"/>
        <v>0</v>
      </c>
      <c r="BL105" s="18">
        <f t="shared" ca="1" si="17"/>
        <v>0</v>
      </c>
      <c r="BM105" s="7" t="str">
        <f t="array" aca="1" ref="BM105" ca="1">IFERROR(OFFSET('OCT-21'!$A$1,MATCH(Sheet1!A94,'OCT-21'!$A:$A,0)-2,0,1,1),"")</f>
        <v/>
      </c>
      <c r="BN105" s="7"/>
      <c r="BO105" s="7"/>
    </row>
    <row r="106" spans="1:67" ht="15" customHeight="1" x14ac:dyDescent="0.25">
      <c r="A106" s="14">
        <v>9</v>
      </c>
      <c r="B106" s="15">
        <v>44501</v>
      </c>
      <c r="C106" s="16">
        <f ca="1">IFERROR(SUM(SUMIF(OFFSET('NOV-21'!$A$1,MATCH(Sheet1!A94,'NOV-21'!$A:$A,0),0,22,1),{"BA*C","BASIC??"},OFFSET('NOV-21'!$A$1,MATCH(Sheet1!A94,'NOV-21'!$A:$A,0),1,22,1))),0)</f>
        <v>0</v>
      </c>
      <c r="D106" s="16">
        <f ca="1">IFERROR(SUM(SUMIF(OFFSET('NOV-21'!$A$1,MATCH(Sheet1!A94,'NOV-21'!$A:$A,0),0,22,1),{"DA*C","D. *"},OFFSET('NOV-21'!$A$1,MATCH(Sheet1!A94,'NOV-21'!$A:$A,0),1,22,1))),0)</f>
        <v>0</v>
      </c>
      <c r="E106" s="16">
        <f ca="1">IFERROR(SUM(SUMIF(OFFSET('NOV-21'!$A$1,MATCH(Sheet1!A94,'NOV-21'!$A:$A,0),0,22,1),{"H. R. A."},OFFSET('NOV-21'!$A$1,MATCH(Sheet1!A94,'NOV-21'!$A:$A,0),1,22,1))),0)</f>
        <v>0</v>
      </c>
      <c r="F106" s="16">
        <f t="array" aca="1" ref="F106" ca="1">IFERROR(SUM(SUMIF(OFFSET('NOV-21'!$A$1,MATCH(Sheet1!A94,'NOV-21'!$A:$A,0),0,22,1),{"SP*AY*","S D A*","O.A.*","CLA (5th Pay)*","REF. Allow*","Trans.Allw.*","LF*","P. O.*","ARM*","Conv.A*","Otr.Allow*","Trans_Arrear*","BMIA*","Incentives*","Fit Allow*","KMA","NON-*","U.*","ME*A","PG*","Per.Tra"},OFFSET('NOV-21'!$A$1,MATCH(Sheet1!A94,'NOV-21'!$A:$A,0),1,22,1))),0)</f>
        <v>0</v>
      </c>
      <c r="G106" s="16">
        <f ca="1">IFERROR(SUM(SUMIF(OFFSET('NOV-21'!$A$1,MATCH(Sheet1!A94,'NOV-21'!$A:$A,0),0,22,1),{"WA"},OFFSET('NOV-21'!$A$1,MATCH(Sheet1!A94,'NOV-21'!$A:$A,0),1,22,1))),0)</f>
        <v>0</v>
      </c>
      <c r="H106" s="16">
        <f ca="1">IFERROR(SUM(SUMIF(OFFSET('NOV-21'!$A$1,MATCH(Sheet1!A94,'NOV-21'!$A:$A,0),0,22,1),{"DCPS","GROSS_ADJUST"},OFFSET('NOV-21'!$A$1,MATCH(Sheet1!A94,'NOV-21'!$A:$A,0),1,22,1))),0)</f>
        <v>0</v>
      </c>
      <c r="I106" s="16">
        <f t="array" aca="1" ref="I106" ca="1">+IFERROR(SUM(SUMIF(OFFSET('NOV-21'!$A$1,MATCH(Sheet1!A94,'NOV-21'!$A:$A,0),0,22,1),{"Basic*Arr*","7th Pay* Arr*","DA Arr"},OFFSET('NOV-21'!$A$1,MATCH(Sheet1!A94,'NOV-21'!$A:$A,0),1,22,1))),0)</f>
        <v>0</v>
      </c>
      <c r="J106" s="16">
        <f t="shared" ca="1" si="18"/>
        <v>0</v>
      </c>
      <c r="K106" s="16">
        <f ca="1">IFERROR(SUM(SUMIF(OFFSET('NOV-21'!$A$1,MATCH(Sheet1!A94,'NOV-21'!$A:$A,0),2,22,1),{"*Pro*ax*"},OFFSET('NOV-21'!$A$1,MATCH(Sheet1!A94,'NOV-21'!$A:$A,0),3,22,1))),0)</f>
        <v>0</v>
      </c>
      <c r="L106" s="16">
        <f ca="1">IFERROR(SUM(SUMIF(OFFSET('NOV-21'!$A$1,MATCH(Sheet1!A94,'NOV-21'!$A:$A,0),2,22,1),{"GPF_G*","DCPS"},OFFSET('NOV-21'!$A$1,MATCH(Sheet1!A94,'NOV-21'!$A:$A,0),3,22,1))),0)</f>
        <v>0</v>
      </c>
      <c r="M106" s="16">
        <f ca="1">IFERROR(SUM(SUMIF(OFFSET('NOV-21'!$A$1,MATCH(Sheet1!A94,'NOV-21'!$A:$A,0),2,22,1),{"*GIS","GIS*R"},OFFSET('NOV-21'!$A$1,MATCH(Sheet1!A94,'NOV-21'!$A:$A,0),3,22,1))),0)</f>
        <v>0</v>
      </c>
      <c r="N106" s="16">
        <f ca="1">IFERROR(SUM(SUMIF(OFFSET('NOV-21'!$A$1,MATCH(Sheet1!A94,'NOV-21'!$A:$A,0),5,22,1),{"LI*1"},OFFSET('NOV-21'!$A$1,MATCH(Sheet1!A94,'NOV-21'!$A:$A,0),6,22,1))),0)</f>
        <v>0</v>
      </c>
      <c r="O106" s="16">
        <f t="array" aca="1" ref="O106" ca="1">IFERROR(SUM(SUMIF(OFFSET('NOV-21'!$A$1,MATCH(Sheet1!A94,'NOV-21'!$A:$A,0),2,22,1),{"HB*USE","HB*INT"},OFFSET('NOV-21'!$A$1,MATCH(Sheet1!A94,'NOV-21'!$A:$A,0),3,22,1))),0)</f>
        <v>0</v>
      </c>
      <c r="P106" s="16">
        <f t="array" aca="1" ref="P106" ca="1">IFERROR(SUM(SUMIF(OFFSET('NOV-21'!$A$1,MATCH(Sheet1!A94,'NOV-21'!$A:$A,0),5,22,1),{"OTHE*1","CO.*1","OTHE*2","WEL*ND","BAN*1","CLU*ND","RD*1","LI*2","MIS*US","*TAINAN*","MCA*INT*","MAIN*NANCE*","*C M Relief Fund*","Co. Op. Hsg Soc.*","GPF_ADV*","Co. Op. Cr. Soc. 2*","DCPS DA","DCPS Pay","MCA Int"},OFFSET('NOV-21'!$A$1,MATCH(Sheet1!A94,'NOV-21'!$A:$A,0),6,22,1)))+SUM(SUMIF(OFFSET('NOV-21'!$A$1,MATCH(Sheet1!A94,'NOV-21'!$A:$A,0),2,22,1),{"MCA","COM*DV*","HB*ND","CO*SOC","HRR","SRV*H","ACC*CY","F.A","STAMP_REVENUE","*C M Relief Fund*","GPF_ADV*","Co. Op. Cr. Soc. 2*","DCPS DA","DCPS Pay","MCA Int"},OFFSET('NOV-21'!$A$1,MATCH(Sheet1!A94,'NOV-21'!$A:$A,0),3,22,1))),0)</f>
        <v>0</v>
      </c>
      <c r="Q106" s="17">
        <f t="shared" ca="1" si="20"/>
        <v>0</v>
      </c>
      <c r="R106" s="17">
        <f t="array" aca="1" ref="R106" ca="1">IFERROR(SUM(SUMIF(OFFSET('NOV-21'!$A$1,MATCH(Sheet1!A94,'NOV-21'!$A:$A,0),2,22,1),{"*I. *ax*"},OFFSET('NOV-21'!$A$1,MATCH(Sheet1!A94,'NOV-21'!$A:$A,0),3,22,1))),0)</f>
        <v>0</v>
      </c>
      <c r="S106" s="46" t="str">
        <f t="array" aca="1" ref="S106" ca="1">+IFERROR(IF(OFFSET('NOV-21'!$B$1,MATCH(Sheet1!A94,'NOV-21'!B:B,0)-2,0,1,1)=Sheet1!J106,IF(MID(IFERROR(OFFSET('NOV-21'!$B$1,MATCH(Sheet1!A94,'NOV-21'!$B:$B,0)-1,-1,1,1),"GROSS ERROR"),11,FIND(" ",OFFSET('NOV-21'!$B$1,MATCH(Sheet1!A94,'NOV-21'!$B:$B,0)-1,-1,1,1),12)-11)-Q106=0,"","NET MISMATCH"),"GROSS MISMATCH"),"")</f>
        <v/>
      </c>
      <c r="T106" s="47"/>
      <c r="U106" s="49"/>
      <c r="V106" s="18"/>
      <c r="W106" s="7"/>
      <c r="X106" s="18"/>
      <c r="Y106" s="7"/>
      <c r="Z106" s="19"/>
      <c r="AC106" s="7"/>
      <c r="AD106" s="7"/>
      <c r="AE106" s="7"/>
      <c r="AF106" s="7"/>
      <c r="AG106" s="7"/>
      <c r="AH106" s="7"/>
      <c r="AI106" s="49"/>
      <c r="AJ106" s="49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64" t="str">
        <f>+G95</f>
        <v>PAN</v>
      </c>
      <c r="BI106" s="47" t="str">
        <f>+A94</f>
        <v/>
      </c>
      <c r="BJ106" s="18" t="str">
        <f t="array" aca="1" ref="BJ106" ca="1">+IFERROR(OFFSET('NOV-21'!$B$1,MATCH(Sheet1!A94,'NOV-21'!$B:$B,0)+1,0,1,1),"")</f>
        <v/>
      </c>
      <c r="BK106" s="64">
        <f t="shared" ca="1" si="16"/>
        <v>0</v>
      </c>
      <c r="BL106" s="18">
        <f t="shared" ca="1" si="17"/>
        <v>0</v>
      </c>
      <c r="BM106" s="7" t="str">
        <f t="array" aca="1" ref="BM106" ca="1">IFERROR(OFFSET('NOV-21'!$A$1,MATCH(Sheet1!A94,'NOV-21'!$A:$A,0)-2,0,1,1),"")</f>
        <v/>
      </c>
      <c r="BN106" s="7"/>
      <c r="BO106" s="7"/>
    </row>
    <row r="107" spans="1:67" ht="15" customHeight="1" x14ac:dyDescent="0.25">
      <c r="A107" s="14">
        <v>10</v>
      </c>
      <c r="B107" s="15">
        <v>44531</v>
      </c>
      <c r="C107" s="16">
        <f ca="1">IFERROR(SUM(SUMIF(OFFSET('DEC-21'!$A$1,MATCH(Sheet1!A94,'DEC-21'!$A:$A,0),0,22,1),{"BA*C","BASIC??"},OFFSET('DEC-21'!$A$1,MATCH(Sheet1!A94,'DEC-21'!$A:$A,0),1,22,1))),0)</f>
        <v>0</v>
      </c>
      <c r="D107" s="16">
        <f ca="1">IFERROR(SUM(SUMIF(OFFSET('DEC-21'!$A$1,MATCH(Sheet1!A94,'DEC-21'!$A:$A,0),0,22,1),{"DA*C","D. *"},OFFSET('DEC-21'!$A$1,MATCH(Sheet1!A94,'DEC-21'!$A:$A,0),1,22,1))),0)</f>
        <v>0</v>
      </c>
      <c r="E107" s="16">
        <f ca="1">IFERROR(SUM(SUMIF(OFFSET('DEC-21'!$A$1,MATCH(Sheet1!A94,'DEC-21'!$A:$A,0),0,22,1),{"H. R. A."},OFFSET('DEC-21'!$A$1,MATCH(Sheet1!A94,'DEC-21'!$A:$A,0),1,22,1))),0)</f>
        <v>0</v>
      </c>
      <c r="F107" s="16">
        <f t="array" aca="1" ref="F107" ca="1">IFERROR(SUM(SUMIF(OFFSET('DEC-21'!$A$1,MATCH(Sheet1!A94,'DEC-21'!$A:$A,0),0,22,1),{"SP*AY*","S D A*","O.A.*","CLA (5th Pay)*","REF. Allow*","Trans.Allw.*","LF*","P. O.*","ARM*","Conv.A*","Otr.Allow*","Trans_Arrear*","BMIA*","Incentives*","Fit Allow*","KMA","NON-*","U.*","ME*A","PG*","Per.Tra"},OFFSET('DEC-21'!$A$1,MATCH(Sheet1!A94,'DEC-21'!$A:$A,0),1,22,1))),0)</f>
        <v>0</v>
      </c>
      <c r="G107" s="16">
        <f ca="1">IFERROR(SUM(SUMIF(OFFSET('DEC-21'!$A$1,MATCH(Sheet1!A94,'DEC-21'!$A:$A,0),0,22,1),{"WA"},OFFSET('DEC-21'!$A$1,MATCH(Sheet1!A94,'DEC-21'!$A:$A,0),1,22,1))),0)</f>
        <v>0</v>
      </c>
      <c r="H107" s="16">
        <f ca="1">IFERROR(SUM(SUMIF(OFFSET('DEC-21'!$A$1,MATCH(Sheet1!A94,'DEC-21'!$A:$A,0),0,22,1),{"DCPS","GROSS_ADJUST"},OFFSET('DEC-21'!$A$1,MATCH(Sheet1!A94,'DEC-21'!$A:$A,0),1,22,1))),0)</f>
        <v>0</v>
      </c>
      <c r="I107" s="16">
        <f t="array" aca="1" ref="I107" ca="1">+IFERROR(SUM(SUMIF(OFFSET('DEC-21'!$A$1,MATCH(Sheet1!A94,'DEC-21'!$A:$A,0),0,22,1),{"Basic*Arr*","7th Pay* Arr*"},OFFSET('DEC-21'!$A$1,MATCH(Sheet1!A94,'DEC-21'!$A:$A,0),1,22,1))),0)</f>
        <v>0</v>
      </c>
      <c r="J107" s="16">
        <f ca="1">SUM(C107:I107)</f>
        <v>0</v>
      </c>
      <c r="K107" s="16">
        <f ca="1">IFERROR(SUM(SUMIF(OFFSET('DEC-21'!$A$1,MATCH(Sheet1!A94,'DEC-21'!$A:$A,0),2,22,1),{"*Pro*ax*"},OFFSET('DEC-21'!$A$1,MATCH(Sheet1!A94,'DEC-21'!$A:$A,0),3,22,1))),0)</f>
        <v>0</v>
      </c>
      <c r="L107" s="16">
        <f ca="1">IFERROR(SUM(SUMIF(OFFSET('DEC-21'!$A$1,MATCH(Sheet1!A94,'DEC-21'!$A:$A,0),2,22,1),{"GPF_G*","DCPS"},OFFSET('DEC-21'!$A$1,MATCH(Sheet1!A94,'DEC-21'!$A:$A,0),3,22,1))),0)</f>
        <v>0</v>
      </c>
      <c r="M107" s="16">
        <f ca="1">IFERROR(SUM(SUMIF(OFFSET('DEC-21'!$A$1,MATCH(Sheet1!A94,'DEC-21'!$A:$A,0),2,22,1),{"*GIS","GIS*R"},OFFSET('DEC-21'!$A$1,MATCH(Sheet1!A94,'DEC-21'!$A:$A,0),3,22,1))),0)</f>
        <v>0</v>
      </c>
      <c r="N107" s="16">
        <f ca="1">IFERROR(SUM(SUMIF(OFFSET('DEC-21'!$A$1,MATCH(Sheet1!A94,'DEC-21'!$A:$A,0),5,22,1),{"LI*1"},OFFSET('DEC-21'!$A$1,MATCH(Sheet1!A94,'DEC-21'!$A:$A,0),6,22,1))),0)</f>
        <v>0</v>
      </c>
      <c r="O107" s="16">
        <f t="array" aca="1" ref="O107" ca="1">IFERROR(SUM(SUMIF(OFFSET('DEC-21'!$A$1,MATCH(Sheet1!A94,'DEC-21'!$A:$A,0),2,22,1),{"HB*USE","HB*INT"},OFFSET('DEC-21'!$A$1,MATCH(Sheet1!A94,'DEC-21'!$A:$A,0),3,22,1))),0)</f>
        <v>0</v>
      </c>
      <c r="P107" s="16">
        <f t="array" aca="1" ref="P107" ca="1">IFERROR(SUM(SUMIF(OFFSET('DEC-21'!$A$1,MATCH(Sheet1!A94,'DEC-21'!$A:$A,0),5,22,1),{"OTHE*1","CO.*1","OTHE*2","WEL*ND","BAN*1","CLU*ND","RD*1","LI*2","MIS*US","*TAINAN*","MCA*INT*","MAIN*NANCE*","*C M Relief Fund*","Co. Op. Hsg Soc.*","GPF_ADV*","Co. Op. Cr. Soc. 2*","DCPS DA","DCPS Pay","MCA Int"},OFFSET('DEC-21'!$A$1,MATCH(Sheet1!A94,'DEC-21'!$A:$A,0),6,22,1)))+SUM(SUMIF(OFFSET('DEC-21'!$A$1,MATCH(Sheet1!A94,'DEC-21'!$A:$A,0),2,22,1),{"MCA","COM*DV*","HB*ND","CO*SOC","HRR","SRV*H","ACC*CY","F.A","STAMP_REVENUE","*C M Relief Fund*","GPF_ADV*","Co. Op. Cr. Soc. 2*","DCPS DA","DCPS Pay","MCA Int"},OFFSET('DEC-21'!$A$1,MATCH(Sheet1!A94,'DEC-21'!$A:$A,0),3,22,1))),0)</f>
        <v>0</v>
      </c>
      <c r="Q107" s="17">
        <f t="shared" ca="1" si="20"/>
        <v>0</v>
      </c>
      <c r="R107" s="17">
        <f t="array" aca="1" ref="R107" ca="1">IFERROR(SUM(SUMIF(OFFSET('DEC-21'!$A$1,MATCH(Sheet1!A94,'DEC-21'!$A:$A,0),2,22,1),{"*I. *ax*"},OFFSET('DEC-21'!$A$1,MATCH(Sheet1!A94,'DEC-21'!$A:$A,0),3,22,1))),0)</f>
        <v>0</v>
      </c>
      <c r="S107" s="46" t="str">
        <f t="array" aca="1" ref="S107" ca="1">+IFERROR(IF(OFFSET('DEC-21'!$B$1,MATCH(Sheet1!A94,'DEC-21'!B:B,0)-2,0,1,1)=Sheet1!J107,IF(MID(IFERROR(OFFSET('DEC-21'!$B$1,MATCH(Sheet1!A94,'DEC-21'!$B:$B,0)-1,-1,1,1),"GROSS ERROR"),11,FIND(" ",OFFSET('DEC-21'!$B$1,MATCH(Sheet1!A94,'DEC-21'!$B:$B,0)-1,-1,1,1),12)-11)-Q107=0,"","NET MISMATCH"),"GROSS MISMATCH"),"")</f>
        <v/>
      </c>
      <c r="T107" s="47"/>
      <c r="U107" s="49"/>
      <c r="V107" s="18"/>
      <c r="W107" s="7"/>
      <c r="X107" s="18"/>
      <c r="Y107" s="7"/>
      <c r="Z107" s="7"/>
      <c r="AC107" s="7"/>
      <c r="AD107" s="7"/>
      <c r="AE107" s="7"/>
      <c r="AF107" s="7"/>
      <c r="AG107" s="7"/>
      <c r="AH107" s="7"/>
      <c r="AI107" s="49"/>
      <c r="AJ107" s="49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64" t="str">
        <f>+G95</f>
        <v>PAN</v>
      </c>
      <c r="BI107" s="47" t="str">
        <f>+A94</f>
        <v/>
      </c>
      <c r="BJ107" s="18" t="str">
        <f t="array" aca="1" ref="BJ107" ca="1">+IFERROR(OFFSET('DEC-21'!$B$1,MATCH(Sheet1!A94,'DEC-21'!$B:$B,0)+1,0,1,1),"")</f>
        <v/>
      </c>
      <c r="BK107" s="64">
        <f t="shared" ca="1" si="16"/>
        <v>0</v>
      </c>
      <c r="BL107" s="18">
        <f t="shared" ca="1" si="17"/>
        <v>0</v>
      </c>
      <c r="BM107" s="7" t="str">
        <f t="array" aca="1" ref="BM107" ca="1">IFERROR(OFFSET('DEC-21'!$A$1,MATCH(Sheet1!A94,'DEC-21'!$A:$A,0)-2,0,1,1),"")</f>
        <v/>
      </c>
      <c r="BN107" s="7"/>
      <c r="BO107" s="7"/>
    </row>
    <row r="108" spans="1:67" ht="15" customHeight="1" x14ac:dyDescent="0.25">
      <c r="A108" s="14">
        <v>11</v>
      </c>
      <c r="B108" s="15">
        <v>44562</v>
      </c>
      <c r="C108" s="16">
        <f ca="1">IFERROR(SUM(SUMIF(OFFSET('JAN-22'!$A$1,MATCH(Sheet1!A94,'JAN-22'!$A:$A,0),0,22,1),{"BA*C","BASIC??"},OFFSET('JAN-22'!$A$1,MATCH(Sheet1!A94,'JAN-22'!$A:$A,0),1,22,1))),0)</f>
        <v>0</v>
      </c>
      <c r="D108" s="16">
        <f ca="1">IFERROR(SUM(SUMIF(OFFSET('JAN-22'!$A$1,MATCH(Sheet1!A94,'JAN-22'!$A:$A,0),0,22,1),{"DA*C","D. *"},OFFSET('JAN-22'!$A$1,MATCH(Sheet1!A94,'JAN-22'!$A:$A,0),1,22,1))),0)</f>
        <v>0</v>
      </c>
      <c r="E108" s="16">
        <f ca="1">IFERROR(SUM(SUMIF(OFFSET('JAN-22'!$A$1,MATCH(Sheet1!A94,'JAN-22'!$A:$A,0),0,22,1),{"H. R. A."},OFFSET('JAN-22'!$A$1,MATCH(Sheet1!A94,'JAN-22'!$A:$A,0),1,22,1))),0)</f>
        <v>0</v>
      </c>
      <c r="F108" s="16">
        <f t="array" aca="1" ref="F108" ca="1">IFERROR(SUM(SUMIF(OFFSET('JAN-22'!$A$1,MATCH(Sheet1!A94,'JAN-22'!$A:$A,0),0,22,1),{"SP*AY*","S D A*","O.A.*","CLA (5th Pay)*","REF. Allow*","Trans.Allw.*","LF*","P. O.*","ARM*","Conv.A*","Otr.Allow*","Trans_Arrear*","BMIA*","Incentives*","Fit Allow*","KMA","NON-*","U.*","ME*A","PG*","Per.Tra"},OFFSET('JAN-22'!$A$1,MATCH(Sheet1!A94,'JAN-22'!$A:$A,0),1,22,1))),0)</f>
        <v>0</v>
      </c>
      <c r="G108" s="16">
        <f ca="1">IFERROR(SUM(SUMIF(OFFSET('JAN-22'!$A$1,MATCH(Sheet1!A94,'JAN-22'!$A:$A,0),0,22,1),{"WA"},OFFSET('JAN-22'!$A$1,MATCH(Sheet1!A94,'JAN-22'!$A:$A,0),1,22,1))),0)</f>
        <v>0</v>
      </c>
      <c r="H108" s="16">
        <f ca="1">IFERROR(SUM(SUMIF(OFFSET('JAN-22'!$A$1,MATCH(Sheet1!A94,'JAN-22'!$A:$A,0),0,22,1),{"DCPS","GROSS_ADJUST"},OFFSET('JAN-22'!$A$1,MATCH(Sheet1!A94,'JAN-22'!$A:$A,0),1,22,1))),0)</f>
        <v>0</v>
      </c>
      <c r="I108" s="16">
        <f t="array" aca="1" ref="I108" ca="1">+IFERROR(SUM(SUMIF(OFFSET('JAN-22'!$A$1,MATCH(Sheet1!A94,'JAN-22'!$A:$A,0),0,22,1),{"Basic*Arr*","7th Pay* Arr*"},OFFSET('JAN-22'!$A$1,MATCH(Sheet1!A94,'JAN-22'!$A:$A,0),1,22,1))),0)</f>
        <v>0</v>
      </c>
      <c r="J108" s="16">
        <f t="shared" ref="J108:J110" ca="1" si="21">SUM(C108:I108)</f>
        <v>0</v>
      </c>
      <c r="K108" s="16">
        <f ca="1">IFERROR(SUM(SUMIF(OFFSET('JAN-22'!$A$1,MATCH(Sheet1!A94,'JAN-22'!$A:$A,0),2,22,1),{"*Pro*ax*"},OFFSET('JAN-22'!$A$1,MATCH(Sheet1!A94,'JAN-22'!$A:$A,0),3,22,1))),0)</f>
        <v>0</v>
      </c>
      <c r="L108" s="16">
        <f ca="1">IFERROR(SUM(SUMIF(OFFSET('JAN-22'!$A$1,MATCH(Sheet1!A94,'JAN-22'!$A:$A,0),2,22,1),{"GPF_G*","DCPS"},OFFSET('JAN-22'!$A$1,MATCH(Sheet1!A94,'JAN-22'!$A:$A,0),3,22,1))),0)</f>
        <v>0</v>
      </c>
      <c r="M108" s="16">
        <f t="array" aca="1" ref="M108" ca="1">IFERROR(SUM(SUMIF(OFFSET('JAN-22'!$A$1,MATCH(Sheet1!A94,'JAN-22'!$A:$A,0),2,22,1),{"*GIS","GIS*R"},OFFSET('JAN-22'!$A$1,MATCH(Sheet1!A94,'JAN-22'!$A:$A,0),3,22,1))),0)</f>
        <v>0</v>
      </c>
      <c r="N108" s="16">
        <f ca="1">IFERROR(SUM(SUMIF(OFFSET('JAN-22'!$A$1,MATCH(Sheet1!A94,'JAN-22'!$A:$A,0),5,22,1),{"LI*1"},OFFSET('JAN-22'!$A$1,MATCH(Sheet1!A94,'JAN-22'!$A:$A,0),6,22,1))),0)</f>
        <v>0</v>
      </c>
      <c r="O108" s="16">
        <f t="array" aca="1" ref="O108" ca="1">IFERROR(SUM(SUMIF(OFFSET('JAN-22'!$A$1,MATCH(Sheet1!A94,'JAN-22'!$A:$A,0),2,22,1),{"HB*USE","HB*INT"},OFFSET('JAN-22'!$A$1,MATCH(Sheet1!A94,'JAN-22'!$A:$A,0),3,22,1))),0)</f>
        <v>0</v>
      </c>
      <c r="P108" s="16">
        <f t="array" aca="1" ref="P108" ca="1">IFERROR(SUM(SUMIF(OFFSET('JAN-22'!$A$1,MATCH(Sheet1!A94,'JAN-22'!$A:$A,0),5,22,1),{"OTHE*1","CO.*1","OTHE*2","WEL*ND","BAN*1","CLU*ND","RD*1","LI*2","MIS*US","*TAINAN*","MCA*INT*","MAIN*NANCE*","*C M Relief Fund*","Co. Op. Hsg Soc.*","GPF_ADV*","Co. Op. Cr. Soc. 2*","DCPS DA","DCPS Pay","MCA Int"},OFFSET('JAN-22'!$A$1,MATCH(Sheet1!A94,'JAN-22'!$A:$A,0),6,22,1)))+SUM(SUMIF(OFFSET('JAN-22'!$A$1,MATCH(Sheet1!A94,'JAN-22'!$A:$A,0),2,22,1),{"MCA","COM*DV*","HB*ND","CO*SOC","HRR","SRV*H","ACC*CY","F.A","STAMP_REVENUE","*C M Relief Fund*","GPF_ADV*","Co. Op. Cr. Soc. 2*","DCPS DA","DCPS Pay","MCA Int"},OFFSET('JAN-22'!$A$1,MATCH(Sheet1!A94,'JAN-22'!$A:$A,0),3,22,1))),0)</f>
        <v>0</v>
      </c>
      <c r="Q108" s="17">
        <f t="shared" ca="1" si="20"/>
        <v>0</v>
      </c>
      <c r="R108" s="17">
        <f t="array" aca="1" ref="R108" ca="1">IFERROR(SUM(SUMIF(OFFSET('JAN-22'!$A$1,MATCH(Sheet1!A94,'JAN-22'!$A:$A,0),2,22,1),{"*I. *ax*"},OFFSET('JAN-22'!$A$1,MATCH(Sheet1!A94,'JAN-22'!$A:$A,0),3,22,1))),0)</f>
        <v>0</v>
      </c>
      <c r="S108" s="46" t="str">
        <f t="array" aca="1" ref="S108" ca="1">+IFERROR(IF(OFFSET('JAN-22'!$B$1,MATCH(Sheet1!A94,'JAN-22'!B:B,0)-2,0,1,1)=Sheet1!J108,IF(MID(IFERROR(OFFSET('JAN-22'!$B$1,MATCH(Sheet1!A94,'JAN-22'!$B:$B,0)-1,-1,1,1),"GROSS ERROR"),11,FIND(" ",OFFSET('JAN-22'!$B$1,MATCH(Sheet1!A94,'JAN-22'!$B:$B,0)-1,-1,1,1),12)-11)-Q108=0,"","NET MISMATCH"),"GROSS MISMATCH"),"")</f>
        <v/>
      </c>
      <c r="T108" s="47"/>
      <c r="U108" s="49"/>
      <c r="V108" s="18"/>
      <c r="W108" s="7"/>
      <c r="X108" s="18"/>
      <c r="Y108" s="7"/>
      <c r="Z108" s="7"/>
      <c r="AC108" s="7"/>
      <c r="AD108" s="7"/>
      <c r="AE108" s="7"/>
      <c r="AF108" s="7"/>
      <c r="AG108" s="7"/>
      <c r="AH108" s="7"/>
      <c r="AI108" s="49"/>
      <c r="AJ108" s="49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64" t="str">
        <f>+G95</f>
        <v>PAN</v>
      </c>
      <c r="BI108" s="47" t="str">
        <f>+A94</f>
        <v/>
      </c>
      <c r="BJ108" s="18" t="str">
        <f t="array" aca="1" ref="BJ108" ca="1">IFERROR(OFFSET('JAN-22'!$B$1,MATCH(Sheet1!A94,'JAN-22'!$B:$B,0)+1,0,1,1),"")</f>
        <v/>
      </c>
      <c r="BK108" s="64">
        <f t="shared" ca="1" si="16"/>
        <v>0</v>
      </c>
      <c r="BL108" s="18">
        <f t="shared" ca="1" si="17"/>
        <v>0</v>
      </c>
      <c r="BM108" s="7" t="str">
        <f t="array" aca="1" ref="BM108" ca="1">IFERROR(OFFSET('JAN-22'!$A$1,MATCH(Sheet1!A94,'JAN-22'!$A:$A,0)-2,0,1,1),"")</f>
        <v/>
      </c>
      <c r="BN108" s="7"/>
      <c r="BO108" s="7"/>
    </row>
    <row r="109" spans="1:67" ht="15" customHeight="1" x14ac:dyDescent="0.25">
      <c r="A109" s="16">
        <v>12</v>
      </c>
      <c r="B109" s="15">
        <v>44593</v>
      </c>
      <c r="C109" s="16">
        <f ca="1">IFERROR(SUM(SUMIF(OFFSET('FEB-22'!$A$1,MATCH(Sheet1!A94,'FEB-22'!$A:$A,0),0,22,1),{"BA*C","BASIC??"},OFFSET('FEB-22'!$A$1,MATCH(Sheet1!A94,'FEB-22'!$A:$A,0),1,22,1))),0)</f>
        <v>0</v>
      </c>
      <c r="D109" s="16">
        <f ca="1">IFERROR(SUM(SUMIF(OFFSET('FEB-22'!$A$1,MATCH(Sheet1!A94,'FEB-22'!$A:$A,0),0,22,1),{"DA*C","D. *"},OFFSET('FEB-22'!$A$1,MATCH(Sheet1!A94,'FEB-22'!$A:$A,0),1,22,1))),0)</f>
        <v>0</v>
      </c>
      <c r="E109" s="16">
        <f ca="1">IFERROR(SUM(SUMIF(OFFSET('FEB-22'!$A$1,MATCH(Sheet1!A94,'FEB-22'!$A:$A,0),0,22,1),{"H. R. A."},OFFSET('FEB-22'!$A$1,MATCH(Sheet1!A94,'FEB-22'!$A:$A,0),1,22,1))),0)</f>
        <v>0</v>
      </c>
      <c r="F109" s="16">
        <f t="array" aca="1" ref="F109" ca="1">IFERROR(SUM(SUMIF(OFFSET('FEB-22'!$A$1,MATCH(Sheet1!A94,'FEB-22'!$A:$A,0),0,22,1),{"SP*AY*","S D A*","O.A.*","CLA (5th Pay)*","REF. Allow*","Trans.Allw.*","LF*","P. O.*","ARM*","Conv.A*","Otr.Allow*","Trans_Arrear*","BMIA*","Incentives*","Fit Allow*","KMA","NON-*","U.*","ME*A","PG*","Per.Tra"},OFFSET('FEB-22'!$A$1,MATCH(Sheet1!A94,'FEB-22'!$A:$A,0),1,22,1))),0)</f>
        <v>0</v>
      </c>
      <c r="G109" s="16">
        <f ca="1">IFERROR(SUM(SUMIF(OFFSET('FEB-22'!$A$1,MATCH(Sheet1!A94,'FEB-22'!$A:$A,0),0,22,1),{"WA"},OFFSET('FEB-22'!$A$1,MATCH(Sheet1!A94,'FEB-22'!$A:$A,0),1,22,1))),0)</f>
        <v>0</v>
      </c>
      <c r="H109" s="16">
        <f ca="1">IFERROR(SUM(SUMIF(OFFSET('FEB-22'!$A$1,MATCH(Sheet1!A94,'FEB-22'!$A:$A,0),0,22,1),{"DCPS","GROSS_ADJUST"},OFFSET('FEB-22'!$A$1,MATCH(Sheet1!A94,'FEB-22'!$A:$A,0),1,22,1))),0)</f>
        <v>0</v>
      </c>
      <c r="I109" s="16">
        <f t="array" aca="1" ref="I109" ca="1">+IFERROR(SUM(SUMIF(OFFSET('FEB-22'!$A$1,MATCH(Sheet1!A94,'FEB-22'!$A:$A,0),0,22,1),{"Basic*Arr*","7th Pay* Arr*"},OFFSET('FEB-22'!$A$1,MATCH(Sheet1!A94,'FEB-22'!$A:$A,0),1,22,1))),0)</f>
        <v>0</v>
      </c>
      <c r="J109" s="16">
        <f t="shared" ca="1" si="21"/>
        <v>0</v>
      </c>
      <c r="K109" s="16">
        <f ca="1">IFERROR(SUM(SUMIF(OFFSET('FEB-22'!$A$1,MATCH(Sheet1!A94,'FEB-22'!$A:$A,0),2,22,1),{"*Pro*ax*"},OFFSET('FEB-22'!$A$1,MATCH(Sheet1!A94,'FEB-22'!$A:$A,0),3,22,1))),0)</f>
        <v>0</v>
      </c>
      <c r="L109" s="16">
        <f ca="1">IFERROR(SUM(SUMIF(OFFSET('FEB-22'!$A$1,MATCH(Sheet1!A94,'FEB-22'!$A:$A,0),2,22,1),{"GPF_G*","DCPS"},OFFSET('FEB-22'!$A$1,MATCH(Sheet1!A94,'FEB-22'!$A:$A,0),3,22,1))),0)</f>
        <v>0</v>
      </c>
      <c r="M109" s="16">
        <f t="array" aca="1" ref="M109" ca="1">IFERROR(SUM(SUMIF(OFFSET('FEB-22'!$A$1,MATCH(Sheet1!A94,'FEB-22'!$A:$A,0),2,22,1),{"*GIS","GIS*R"},OFFSET('FEB-22'!$A$1,MATCH(Sheet1!A94,'FEB-22'!$A:$A,0),3,22,1))),0)</f>
        <v>0</v>
      </c>
      <c r="N109" s="16">
        <f ca="1">IFERROR(SUM(SUMIF(OFFSET('FEB-22'!$A$1,MATCH(Sheet1!A94,'FEB-22'!$A:$A,0),5,22,1),{"LI*1"},OFFSET('FEB-22'!$A$1,MATCH(Sheet1!A94,'FEB-22'!$A:$A,0),6,22,1))),0)</f>
        <v>0</v>
      </c>
      <c r="O109" s="16">
        <f t="array" aca="1" ref="O109" ca="1">IFERROR(SUM(SUMIF(OFFSET('FEB-22'!$A$1,MATCH(Sheet1!A94,'FEB-22'!$A:$A,0),2,22,1),{"HB*USE","HB*INT"},OFFSET('FEB-22'!$A$1,MATCH(Sheet1!A94,'FEB-22'!$A:$A,0),3,22,1))),0)</f>
        <v>0</v>
      </c>
      <c r="P109" s="16">
        <f t="array" aca="1" ref="P109" ca="1">IFERROR(SUM(SUMIF(OFFSET('FEB-22'!$A$1,MATCH(Sheet1!A94,'FEB-22'!$A:$A,0),5,22,1),{"OTHE*1","CO.*1","OTHE*2","WEL*ND","BAN*1","CLU*ND","RD*1","LI*2","MIS*US","*TAINAN*","MCA*INT*","MAIN*NANCE*","*C M Relief Fund*","Co. Op. Hsg Soc.*","GPF_ADV*","Co. Op. Cr. Soc. 2*","DCPS DA","DCPS Pay","MCA Int"},OFFSET('FEB-22'!$A$1,MATCH(Sheet1!A94,'FEB-22'!$A:$A,0),6,22,1)))+SUM(SUMIF(OFFSET('FEB-22'!$A$1,MATCH(Sheet1!A94,'FEB-22'!$A:$A,0),2,22,1),{"MCA","COM*DV*","HB*ND","CO*SOC","HRR","SRV*H","ACC*CY","F.A","STAMP_REVENUE","*C M Relief Fund*","GPF_ADV*","Co. Op. Cr. Soc. 2*","DCPS DA","DCPS Pay","MCA Int"},OFFSET('FEB-22'!$A$1,MATCH(Sheet1!A94,'FEB-22'!$A:$A,0),3,22,1))),0)</f>
        <v>0</v>
      </c>
      <c r="Q109" s="17">
        <f t="shared" ca="1" si="20"/>
        <v>0</v>
      </c>
      <c r="R109" s="17">
        <f t="array" aca="1" ref="R109" ca="1">IFERROR(SUM(SUMIF(OFFSET('FEB-22'!$A$1,MATCH(Sheet1!A94,'FEB-22'!$A:$A,0),2,22,1),{"*I. *ax*"},OFFSET('FEB-22'!$A$1,MATCH(Sheet1!A94,'FEB-22'!$A:$A,0),3,22,1))),0)</f>
        <v>0</v>
      </c>
      <c r="S109" s="46" t="str">
        <f t="array" aca="1" ref="S109" ca="1">+IFERROR(IF(OFFSET('FEB-22'!$B$1,MATCH(Sheet1!A94,'FEB-22'!B:B,0)-2,0,1,1)=Sheet1!J109,IF(MID(IFERROR(OFFSET('FEB-22'!$B$1,MATCH(Sheet1!A94,'FEB-22'!$B:$B,0)-1,-1,1,1),"GROSS ERROR"),11,FIND(" ",OFFSET('FEB-22'!$B$1,MATCH(Sheet1!A94,'FEB-22'!$B:$B,0)-1,-1,1,1),12)-11)-Q109=0,"","NET MISMATCH"),"GROSS MISMATCH"),"")</f>
        <v/>
      </c>
      <c r="T109" s="47"/>
      <c r="U109" s="48"/>
      <c r="V109" s="18"/>
      <c r="W109" s="7"/>
      <c r="X109" s="18"/>
      <c r="Y109" s="4"/>
      <c r="Z109" s="4"/>
      <c r="AC109" s="4"/>
      <c r="AD109" s="4"/>
      <c r="AE109" s="4"/>
      <c r="AF109" s="4"/>
      <c r="AG109" s="4"/>
      <c r="AH109" s="4"/>
      <c r="AI109" s="48"/>
      <c r="AJ109" s="48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64" t="str">
        <f>+G95</f>
        <v>PAN</v>
      </c>
      <c r="BI109" s="47" t="str">
        <f>+A94</f>
        <v/>
      </c>
      <c r="BJ109" s="18" t="str">
        <f t="array" aca="1" ref="BJ109" ca="1">IFERROR(OFFSET('FEB-22'!$B$1,MATCH(Sheet1!A94,'FEB-22'!$B:$B,0)+1,0,1,1),"")</f>
        <v/>
      </c>
      <c r="BK109" s="64">
        <f t="shared" ca="1" si="16"/>
        <v>0</v>
      </c>
      <c r="BL109" s="18">
        <f t="shared" ca="1" si="17"/>
        <v>0</v>
      </c>
      <c r="BM109" s="7" t="str">
        <f t="array" aca="1" ref="BM109" ca="1">IFERROR(OFFSET('FEB-22'!$A$1,MATCH(Sheet1!A94,'FEB-22'!$A:$A,0)-2,0,1,1),"")</f>
        <v/>
      </c>
      <c r="BN109" s="4"/>
      <c r="BO109" s="4"/>
    </row>
    <row r="110" spans="1:67" ht="15" customHeight="1" x14ac:dyDescent="0.25">
      <c r="A110" s="14">
        <v>13</v>
      </c>
      <c r="B110" s="23" t="s">
        <v>119</v>
      </c>
      <c r="C110" s="16">
        <f ca="1">IFERROR(SUM(SUMIF(OFFSET(SUPP!$A$1,MATCH(Sheet1!A94,SUPP!$A:$A,0),0,22,1),{"BA*C","BASIC??"},OFFSET(SUPP!$A$1,MATCH(Sheet1!A94,SUPP!$A:$A,0),1,22,1))),0)</f>
        <v>0</v>
      </c>
      <c r="D110" s="16">
        <f ca="1">IFERROR(SUM(SUMIF(OFFSET(SUPP!$A$1,MATCH(Sheet1!A94,SUPP!$A:$A,0),0,22,1),{"DA*C","D. *"},OFFSET(SUPP!$A$1,MATCH(Sheet1!A94,SUPP!$A:$A,0),1,22,1))),0)</f>
        <v>0</v>
      </c>
      <c r="E110" s="16">
        <f ca="1">IFERROR(SUM(SUMIF(OFFSET(SUPP!$A$1,MATCH(Sheet1!A94,SUPP!$A:$A,0),0,22,1),{"H. R. A."},OFFSET(SUPP!$A$1,MATCH(Sheet1!A94,SUPP!$A:$A,0),1,22,1))),0)</f>
        <v>0</v>
      </c>
      <c r="F110" s="16">
        <f t="array" aca="1" ref="F110" ca="1">IFERROR(SUM(SUMIF(OFFSET(SUPP!$A$1,MATCH(Sheet1!A94,SUPP!$A:$A,0),0,22,1),{"SP*AY*","S D A*","O.A.*","CLA (5th Pay)*","REF. Allow*","Trans.Allw.*","LF*","P. O.*","ARM*","Conv.A*","Otr.Allow*","Trans_Arrear*","BMIA*","Incentives*","Fit Allow*","KMA","NON-*","U.*","ME*A","PG*","Per.Tra"},OFFSET(SUPP!$A$1,MATCH(Sheet1!A94,SUPP!$A:$A,0),1,22,1))),0)</f>
        <v>0</v>
      </c>
      <c r="G110" s="16">
        <f ca="1">IFERROR(SUM(SUMIF(OFFSET(SUPP!$A$1,MATCH(Sheet1!A94,SUPP!$A:$A,0),0,22,1),{"WA"},OFFSET(SUPP!$A$1,MATCH(Sheet1!A94,SUPP!$A:$A,0),1,22,1))),0)</f>
        <v>0</v>
      </c>
      <c r="H110" s="16">
        <f ca="1">IFERROR(SUM(SUMIF(OFFSET(SUPP!$A$1,MATCH(Sheet1!A94,SUPP!$A:$A,0),0,22,1),{"DCPS","GROSS_ADJUST"},OFFSET(SUPP!$A$1,MATCH(Sheet1!A94,SUPP!$A:$A,0),1,22,1))),0)</f>
        <v>0</v>
      </c>
      <c r="I110" s="16">
        <f t="array" aca="1" ref="I110" ca="1">+IFERROR(SUM(SUMIF(OFFSET(SUPP!$A$1,MATCH(Sheet1!A94,SUPP!$A:$A,0),0,22,1),{"Basic*Arr*","7th Pay* Arr*"},OFFSET(SUPP!$A$1,MATCH(Sheet1!A94,SUPP!$A:$A,0),1,22,1))),0)</f>
        <v>0</v>
      </c>
      <c r="J110" s="16">
        <f t="shared" ca="1" si="21"/>
        <v>0</v>
      </c>
      <c r="K110" s="16">
        <f ca="1">IFERROR(SUM(SUMIF(OFFSET(SUPP!$A$1,MATCH(Sheet1!A94,SUPP!$A:$A,0),2,22,1),{"*Pro*ax*"},OFFSET(SUPP!$A$1,MATCH(Sheet1!A94,SUPP!$A:$A,0),3,22,1))),0)</f>
        <v>0</v>
      </c>
      <c r="L110" s="16">
        <f ca="1">IFERROR(SUM(SUMIF(OFFSET(SUPP!$A$1,MATCH(Sheet1!A94,SUPP!$A:$A,0),2,22,1),{"GPF_G*","DCPS"},OFFSET(SUPP!$A$1,MATCH(Sheet1!A94,SUPP!$A:$A,0),3,22,1))),0)</f>
        <v>0</v>
      </c>
      <c r="M110" s="16">
        <f t="array" aca="1" ref="M110" ca="1">IFERROR(SUM(SUMIF(OFFSET(SUPP!$A$1,MATCH(Sheet1!A94,SUPP!$A:$A,0),2,22,1),{"*GIS","GIS*R"},OFFSET(SUPP!$A$1,MATCH(Sheet1!A94,SUPP!$A:$A,0),3,22,1))),0)</f>
        <v>0</v>
      </c>
      <c r="N110" s="16">
        <f ca="1">IFERROR(SUM(SUMIF(OFFSET(SUPP!$A$1,MATCH(Sheet1!A94,SUPP!$A:$A,0),5,22,1),{"LI*1"},OFFSET(SUPP!$A$1,MATCH(Sheet1!A94,SUPP!$A:$A,0),6,22,1))),0)</f>
        <v>0</v>
      </c>
      <c r="O110" s="16">
        <f t="array" aca="1" ref="O110" ca="1">IFERROR(SUM(SUMIF(OFFSET(SUPP!$A$1,MATCH(Sheet1!A94,SUPP!$A:$A,0),2,22,1),{"HB*USE","HB*INT"},OFFSET(SUPP!$A$1,MATCH(Sheet1!A94,SUPP!$A:$A,0),3,22,1))),0)</f>
        <v>0</v>
      </c>
      <c r="P110" s="16">
        <f t="array" aca="1" ref="P110" ca="1">IFERROR(SUM(SUMIF(OFFSET(SUPP!$A$1,MATCH(Sheet1!A94,SUPP!$A:$A,0),5,22,1),{"OTHE*1","CO.*1","OTHE*2","WEL*ND","BAN*1","CLU*ND","RD*1","LI*2","MIS*US","*TAINAN*","MCA*INT*","MAIN*NANCE*","*C M Relief Fund*","Co. Op. Hsg Soc.*","GPF_ADV*","Co. Op. Cr. Soc. 2*","DCPS DA","DCPS Pay","MCA Int"},OFFSET(SUPP!$A$1,MATCH(Sheet1!A94,SUPP!$A:$A,0),6,22,1)))+SUM(SUMIF(OFFSET(SUPP!$A$1,MATCH(Sheet1!A94,SUPP!$A:$A,0),2,22,1),{"MCA","COM*DV*","HB*ND","CO*SOC","HRR","SRV*H","ACC*CY","F.A","STAMP_REVENUE","*C M Relief Fund*","GPF_ADV*","Co. Op. Cr. Soc. 2*","DCPS DA","DCPS Pay","MCA Int"},OFFSET(SUPP!$A$1,MATCH(Sheet1!A94,SUPP!$A:$A,0),3,22,1))),0)</f>
        <v>0</v>
      </c>
      <c r="Q110" s="17">
        <f t="shared" ca="1" si="20"/>
        <v>0</v>
      </c>
      <c r="R110" s="17">
        <f t="array" aca="1" ref="R110" ca="1">IFERROR(SUM(SUMIF(OFFSET(SUPP!$A$1,MATCH(Sheet1!A94,SUPP!$A:$A,0),2,22,1),{"*I. *ax*"},OFFSET(SUPP!$A$1,MATCH(Sheet1!A94,SUPP!$A:$A,0),3,22,1))),0)</f>
        <v>0</v>
      </c>
      <c r="S110" s="46" t="str">
        <f t="array" aca="1" ref="S110" ca="1">+IFERROR(IF(OFFSET(SUPP!$B$1,MATCH(Sheet1!A94,SUPP!B:B,0)-2,0,1,1)=Sheet1!J110,IF(MID(IFERROR(OFFSET(SUPP!$B$1,MATCH(Sheet1!A94,SUPP!$B:$B,0)-1,-1,1,1),"GROSS ERROR"),11,FIND(" ",OFFSET(SUPP!$B$1,MATCH(Sheet1!A94,SUPP!$B:$B,0)-1,-1,1,1),12)-11)-Q110=0,"","NET MISMATCH"),"GROSS MISMATCH"),"")</f>
        <v/>
      </c>
      <c r="T110" s="24"/>
      <c r="U110" s="49"/>
      <c r="V110" s="7"/>
      <c r="W110" s="7"/>
      <c r="X110" s="7"/>
      <c r="Y110" s="7"/>
      <c r="Z110" s="7"/>
      <c r="AC110" s="7"/>
      <c r="AD110" s="7"/>
      <c r="AE110" s="7"/>
      <c r="AF110" s="7"/>
      <c r="AG110" s="7"/>
      <c r="AH110" s="7"/>
      <c r="AI110" s="49"/>
      <c r="AJ110" s="49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64" t="str">
        <f>+G95</f>
        <v>PAN</v>
      </c>
      <c r="BI110" s="47" t="str">
        <f>+A94</f>
        <v/>
      </c>
      <c r="BJ110" s="18" t="str">
        <f t="array" aca="1" ref="BJ110" ca="1">IFERROR(OFFSET(SUPP!$B$1,MATCH(Sheet1!A94,SUPP!$B:$B,0)+1,0,1,1),"")</f>
        <v/>
      </c>
      <c r="BK110" s="7">
        <f t="shared" ca="1" si="16"/>
        <v>0</v>
      </c>
      <c r="BL110" s="18">
        <f t="shared" ca="1" si="17"/>
        <v>0</v>
      </c>
      <c r="BM110" s="7" t="str">
        <f ca="1">IFERROR(OFFSET(SUPP!$A$1,MATCH(Sheet1!A94,SUPP!$A:$A,0)-2,0,1,1),"")</f>
        <v/>
      </c>
      <c r="BN110" s="7"/>
      <c r="BO110" s="7"/>
    </row>
    <row r="111" spans="1:67" ht="15" customHeight="1" x14ac:dyDescent="0.25">
      <c r="A111" s="14">
        <v>14</v>
      </c>
      <c r="B111" s="23" t="s">
        <v>20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f ca="1">IFERROR(SUM(SUMIF(OFFSET('AUG-21'!$A$1,MATCH(Sheet1!A102,'AUG-21'!$A:$A,0),0,22,1),{"Arr*","7th Pay* Arr*","Basic Arr."},OFFSET('AUG-21'!$A$1,MATCH(Sheet1!A102,'AUG-21'!$A:$A,0),1,22,1))),0)</f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7">
        <f t="shared" ref="Q111:Q112" si="22">+J111-H111-K111-L111-M111-N111-O111-P111-P131</f>
        <v>0</v>
      </c>
      <c r="R111" s="17">
        <v>0</v>
      </c>
      <c r="S111" s="7"/>
      <c r="T111" s="24"/>
      <c r="U111" s="49"/>
      <c r="V111" s="7"/>
      <c r="W111" s="7"/>
      <c r="X111" s="7"/>
      <c r="Y111" s="7"/>
      <c r="Z111" s="7"/>
      <c r="AC111" s="7"/>
      <c r="AD111" s="7"/>
      <c r="AE111" s="7"/>
      <c r="AF111" s="7"/>
      <c r="AG111" s="7"/>
      <c r="AH111" s="7"/>
      <c r="AI111" s="49"/>
      <c r="AJ111" s="49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</row>
    <row r="112" spans="1:67" ht="15" customHeight="1" x14ac:dyDescent="0.25">
      <c r="A112" s="14"/>
      <c r="B112" s="15"/>
      <c r="C112" s="15"/>
      <c r="D112" s="15"/>
      <c r="E112" s="15"/>
      <c r="F112" s="15"/>
      <c r="G112" s="15"/>
      <c r="H112" s="15"/>
      <c r="I112" s="15"/>
      <c r="J112" s="16"/>
      <c r="K112" s="16"/>
      <c r="L112" s="16"/>
      <c r="M112" s="16"/>
      <c r="N112" s="16">
        <v>0</v>
      </c>
      <c r="O112" s="16">
        <v>0</v>
      </c>
      <c r="P112" s="16">
        <v>0</v>
      </c>
      <c r="Q112" s="17">
        <f t="shared" si="22"/>
        <v>0</v>
      </c>
      <c r="R112" s="16">
        <v>0</v>
      </c>
      <c r="S112" s="7"/>
      <c r="T112" s="24"/>
      <c r="U112" s="49"/>
      <c r="V112" s="7"/>
      <c r="W112" s="7"/>
      <c r="X112" s="7"/>
      <c r="Y112" s="7"/>
      <c r="Z112" s="7"/>
      <c r="AC112" s="7"/>
      <c r="AD112" s="7"/>
      <c r="AE112" s="7"/>
      <c r="AF112" s="7"/>
      <c r="AG112" s="7"/>
      <c r="AH112" s="7"/>
      <c r="AI112" s="49"/>
      <c r="AJ112" s="49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</row>
    <row r="113" spans="1:67" ht="15" customHeight="1" x14ac:dyDescent="0.25">
      <c r="A113" s="25"/>
      <c r="B113" s="26" t="s">
        <v>21</v>
      </c>
      <c r="C113" s="26">
        <f t="shared" ref="C113:G113" ca="1" si="23">SUM(C98:C112)</f>
        <v>0</v>
      </c>
      <c r="D113" s="26">
        <f t="shared" ca="1" si="23"/>
        <v>0</v>
      </c>
      <c r="E113" s="26">
        <f t="shared" ca="1" si="23"/>
        <v>0</v>
      </c>
      <c r="F113" s="26">
        <f t="shared" ca="1" si="23"/>
        <v>0</v>
      </c>
      <c r="G113" s="26">
        <f t="shared" ca="1" si="23"/>
        <v>0</v>
      </c>
      <c r="H113" s="26">
        <f ca="1">SUM(H98:H112)</f>
        <v>0</v>
      </c>
      <c r="I113" s="26">
        <f t="shared" ref="I113:R113" ca="1" si="24">SUM(I98:I112)</f>
        <v>0</v>
      </c>
      <c r="J113" s="26">
        <f t="shared" ca="1" si="24"/>
        <v>0</v>
      </c>
      <c r="K113" s="26">
        <f t="shared" ca="1" si="24"/>
        <v>0</v>
      </c>
      <c r="L113" s="26">
        <f t="shared" ca="1" si="24"/>
        <v>0</v>
      </c>
      <c r="M113" s="26">
        <f t="shared" ca="1" si="24"/>
        <v>0</v>
      </c>
      <c r="N113" s="26">
        <f t="shared" ca="1" si="24"/>
        <v>0</v>
      </c>
      <c r="O113" s="26">
        <f t="shared" ca="1" si="24"/>
        <v>0</v>
      </c>
      <c r="P113" s="26">
        <f t="shared" ca="1" si="24"/>
        <v>0</v>
      </c>
      <c r="Q113" s="26">
        <f t="shared" ca="1" si="24"/>
        <v>0</v>
      </c>
      <c r="R113" s="26">
        <f t="shared" ca="1" si="24"/>
        <v>0</v>
      </c>
      <c r="S113" s="7"/>
      <c r="T113" s="5"/>
      <c r="U113" s="49"/>
      <c r="V113" s="7"/>
      <c r="W113" s="7"/>
      <c r="X113" s="7"/>
      <c r="Y113" s="7"/>
      <c r="Z113" s="7"/>
      <c r="AC113" s="7"/>
      <c r="AD113" s="7"/>
      <c r="AE113" s="7"/>
      <c r="AF113" s="7"/>
      <c r="AG113" s="7"/>
      <c r="AH113" s="7"/>
      <c r="AI113" s="49"/>
      <c r="AJ113" s="49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</row>
    <row r="114" spans="1:67" ht="15" customHeight="1" x14ac:dyDescent="0.25">
      <c r="A114" s="7"/>
      <c r="B114" s="27" t="s">
        <v>22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7"/>
      <c r="P114" s="7"/>
      <c r="Q114" s="7"/>
      <c r="R114" s="7"/>
      <c r="S114" s="7"/>
      <c r="T114" s="7"/>
      <c r="U114" s="49"/>
      <c r="V114" s="7"/>
      <c r="W114" s="7"/>
      <c r="X114" s="7"/>
      <c r="Y114" s="7"/>
      <c r="Z114" s="7"/>
      <c r="AC114" s="7"/>
      <c r="AD114" s="7"/>
      <c r="AE114" s="7"/>
      <c r="AF114" s="7"/>
      <c r="AG114" s="7"/>
      <c r="AH114" s="7"/>
      <c r="AI114" s="49"/>
      <c r="AJ114" s="49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</row>
    <row r="115" spans="1:67" ht="15" customHeight="1" x14ac:dyDescent="0.25">
      <c r="A115" s="7"/>
      <c r="B115" s="29" t="s">
        <v>23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7"/>
      <c r="P115" s="7"/>
      <c r="Q115" s="7"/>
      <c r="R115" s="7"/>
      <c r="S115" s="7"/>
      <c r="T115" s="7"/>
      <c r="U115" s="49"/>
      <c r="V115" s="7"/>
      <c r="W115" s="7"/>
      <c r="X115" s="7"/>
      <c r="Y115" s="7"/>
      <c r="Z115" s="7"/>
      <c r="AC115" s="7"/>
      <c r="AD115" s="7"/>
      <c r="AE115" s="7"/>
      <c r="AF115" s="7"/>
      <c r="AG115" s="7"/>
      <c r="AH115" s="7"/>
      <c r="AI115" s="49"/>
      <c r="AJ115" s="49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</row>
    <row r="116" spans="1:67" ht="15" customHeight="1" x14ac:dyDescent="0.25">
      <c r="A116" s="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7"/>
      <c r="P116" s="7"/>
      <c r="Q116" s="7"/>
      <c r="R116" s="7"/>
      <c r="S116" s="7"/>
      <c r="T116" s="7"/>
      <c r="U116" s="49"/>
      <c r="V116" s="7"/>
      <c r="W116" s="7"/>
      <c r="X116" s="7"/>
      <c r="Y116" s="7"/>
      <c r="Z116" s="7"/>
      <c r="AC116" s="7"/>
      <c r="AD116" s="7"/>
      <c r="AE116" s="7"/>
      <c r="AF116" s="7"/>
      <c r="AG116" s="7"/>
      <c r="AH116" s="7"/>
      <c r="AI116" s="49"/>
      <c r="AJ116" s="49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</row>
    <row r="117" spans="1:67" ht="15" customHeight="1" x14ac:dyDescent="0.25">
      <c r="A117" s="7"/>
      <c r="B117" s="30" t="s">
        <v>24</v>
      </c>
      <c r="C117" s="7"/>
      <c r="D117" s="7">
        <f ca="1">+J113</f>
        <v>0</v>
      </c>
      <c r="E117" s="7"/>
      <c r="F117" s="7"/>
      <c r="G117" s="30" t="s">
        <v>25</v>
      </c>
      <c r="H117" s="30"/>
      <c r="I117" s="30"/>
      <c r="J117" s="30"/>
      <c r="K117" s="7" t="s">
        <v>26</v>
      </c>
      <c r="L117" s="7"/>
      <c r="M117" s="7">
        <f ca="1">+D128-H130-H139</f>
        <v>-50000</v>
      </c>
      <c r="N117" s="7"/>
      <c r="O117" s="20"/>
      <c r="P117" s="31"/>
      <c r="Q117" s="22"/>
      <c r="R117" s="22"/>
      <c r="S117" s="22"/>
      <c r="T117" s="22"/>
      <c r="U117" s="7" t="str">
        <f t="array" ref="U117">+UPPER(G95)</f>
        <v>PAN</v>
      </c>
      <c r="V117" s="7"/>
      <c r="W117" s="7"/>
      <c r="X117" s="7"/>
      <c r="Y117" s="7"/>
      <c r="Z117" s="7"/>
      <c r="AB117" s="7" t="str">
        <f>+UPPER(A94)</f>
        <v/>
      </c>
      <c r="AC117" s="18">
        <f ca="1">+M126-M128</f>
        <v>0</v>
      </c>
      <c r="AD117" s="18">
        <f ca="1">+R113</f>
        <v>0</v>
      </c>
      <c r="AE117" s="7"/>
      <c r="AF117" s="7"/>
      <c r="AG117" s="7"/>
      <c r="AH117" s="7"/>
      <c r="AI117" s="49"/>
      <c r="AJ117" s="49"/>
      <c r="AK117" s="7"/>
      <c r="AL117" s="7"/>
      <c r="AM117" s="7"/>
      <c r="AN117" s="7"/>
      <c r="AO117" s="7"/>
      <c r="AP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</row>
    <row r="118" spans="1:67" ht="15" customHeight="1" x14ac:dyDescent="0.25">
      <c r="A118" s="7"/>
      <c r="B118" s="30" t="s">
        <v>27</v>
      </c>
      <c r="C118" s="7"/>
      <c r="D118" s="7"/>
      <c r="E118" s="7"/>
      <c r="F118" s="32" t="s">
        <v>28</v>
      </c>
      <c r="G118" s="7" t="s">
        <v>13</v>
      </c>
      <c r="H118" s="7">
        <f ca="1">+IF(H113&gt;0,L113-H133,L113)</f>
        <v>0</v>
      </c>
      <c r="I118" s="7"/>
      <c r="J118" s="7"/>
      <c r="K118" s="7" t="s">
        <v>29</v>
      </c>
      <c r="L118" s="7"/>
      <c r="M118" s="33">
        <f ca="1">IF(AND(N96="M",M117&lt;=250000),0,IF(AND(N96="F",M117&lt;=250000),0,IF(AND(N96="M",M117&lt;=500000),ROUND((M117-250000)*5%,0),IF(AND(N96="F",M117&lt;=500000),ROUND((M117-250000)*5%,0),IF(AND(N96="M",M117&lt;=1000000),12500+ROUND((M117-500000)*20%,0),IF(AND(N96="F",M117&lt;=1000000),12500+ROUND((M117-500000)*20%,0),IF(AND(N96="M",M117&gt;=1000000),112500+ROUND((M117-1000000)*30%,0),112500+ROUND((M117-1000000)*30%,0))))))))</f>
        <v>0</v>
      </c>
      <c r="N118" s="7"/>
      <c r="O118" s="34"/>
      <c r="P118" s="18"/>
      <c r="Q118" s="18"/>
      <c r="R118" s="18"/>
      <c r="S118" s="18"/>
      <c r="T118" s="18"/>
      <c r="U118" s="49"/>
      <c r="V118" s="7"/>
      <c r="W118" s="7"/>
      <c r="X118" s="7"/>
      <c r="Y118" s="7"/>
      <c r="Z118" s="7"/>
      <c r="AC118" s="7"/>
      <c r="AD118" s="7"/>
      <c r="AE118" s="7"/>
      <c r="AF118" s="7"/>
      <c r="AG118" s="7"/>
      <c r="AH118" s="7"/>
      <c r="AI118" s="49"/>
      <c r="AJ118" s="49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</row>
    <row r="119" spans="1:67" ht="15" customHeight="1" x14ac:dyDescent="0.25">
      <c r="A119" s="7"/>
      <c r="B119" s="7" t="s">
        <v>30</v>
      </c>
      <c r="C119" s="7"/>
      <c r="D119" s="7">
        <v>50000</v>
      </c>
      <c r="E119" s="7"/>
      <c r="F119" s="32" t="s">
        <v>31</v>
      </c>
      <c r="G119" s="7" t="s">
        <v>14</v>
      </c>
      <c r="H119" s="7">
        <f ca="1">+M113</f>
        <v>0</v>
      </c>
      <c r="I119" s="7"/>
      <c r="J119" s="7"/>
      <c r="K119" s="7" t="s">
        <v>32</v>
      </c>
      <c r="L119" s="7"/>
      <c r="M119" s="33">
        <f ca="1">+IF(AND(B114="GN",(D117-H134)&lt;=250000,B115="OLD"),0,IF(AND(B114="SC",(D117-H134)&lt;=300000,B115="OLD"),0,IF(AND(B114="SSC",(D117-H134)&lt;=500000,B115="OLD"),0,IF(AND(B114="GN",B115="OLD",(D117-H134)&lt;=500000),ROUND(((D117-H134)-250000)*5%,0),IF(AND(B115="OLD",B114="SC",(D117-H134)&lt;=500000),ROUND(((D117-H134)-300000)*5%,0),IF(AND(B115="OLD",(D117-H134)&lt;=1000000,B114="GN"),ROUND(((D117-H134)-500000)*20%+(12500),0),IF(AND(B114="SC",B115="OLD",(D117-H134)&lt;=1000000),ROUND(((D117-H134)-500000)*20%+(10000),0),IF(AND(B114="SSC",B115="OLD",(D117-H134)&lt;=1000000),ROUND(((D117-H134)-500000)*20%,0),IF(AND(B115="OLD",B114="GN",(D117-H134)&gt;1000000),ROUND(((D117-H134)-1000000)*30%+(112500),0),IF(AND(B115="OLD",B114="SC",(D117-H134)&gt;1000000),ROUND(((D117-H134)-1000000)*30%+(110000),0),IF(AND(B114="SSC",B115="OLD",(D117-H134)&gt;1000000),ROUND(((D117-H134)-1000000)*30%+(100000),0),IF(AND(B115="NEW",(D117-H134)&lt;=250000),0,IF(AND(B115="NEW",(D117-H134)&lt;=500000),ROUND(((D117-H134)-250000)*5%,0),IF(AND(B115="NEW",(D117-H134)&lt;=750000),ROUND(((D117-H134)-500000)*10%+(12500),0),IF(AND(B115="NEW",(D117-H134)&lt;=1000000),ROUND(((D117-H134)-750000)*15%+(37500),0),IF(AND(B115="NEW",(D117-H134)&lt;=1250000),ROUND(((D117-H134)-1000000)*20%+(75000),0),IF(AND(B115="NEW",(D117-H134)&lt;=1500000),ROUND(((D117-H134)-1250000)*25%+(125000),0),IF(AND(B115="NEW",(D117-H134)&gt;1500000),ROUND(((D117-H134)-1500000)*30%+(187500),0)))))))))))))))))))</f>
        <v>0</v>
      </c>
      <c r="N119" s="7"/>
      <c r="O119" s="34"/>
      <c r="P119" s="18"/>
      <c r="Q119" s="7"/>
      <c r="R119" s="7"/>
      <c r="S119" s="7"/>
      <c r="T119" s="7"/>
      <c r="U119" s="49"/>
      <c r="V119" s="7"/>
      <c r="W119" s="7"/>
      <c r="X119" s="7"/>
      <c r="Y119" s="7"/>
      <c r="Z119" s="7"/>
      <c r="AC119" s="7"/>
      <c r="AD119" s="7"/>
      <c r="AE119" s="7"/>
      <c r="AF119" s="7"/>
      <c r="AG119" s="7"/>
      <c r="AH119" s="7"/>
      <c r="AI119" s="49"/>
      <c r="AJ119" s="49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</row>
    <row r="120" spans="1:67" ht="15" customHeight="1" x14ac:dyDescent="0.25">
      <c r="A120" s="7"/>
      <c r="B120" s="7" t="s">
        <v>8</v>
      </c>
      <c r="C120" s="7"/>
      <c r="D120" s="7">
        <f ca="1">+G113</f>
        <v>0</v>
      </c>
      <c r="E120" s="7"/>
      <c r="F120" s="32" t="s">
        <v>33</v>
      </c>
      <c r="G120" s="7" t="s">
        <v>34</v>
      </c>
      <c r="H120" s="7">
        <f ca="1">+N113</f>
        <v>0</v>
      </c>
      <c r="I120" s="7"/>
      <c r="J120" s="7"/>
      <c r="K120" s="7"/>
      <c r="L120" s="7"/>
      <c r="M120" s="7"/>
      <c r="N120" s="7"/>
      <c r="O120" s="34"/>
      <c r="P120" s="18"/>
      <c r="Q120" s="7"/>
      <c r="R120" s="7"/>
      <c r="S120" s="7"/>
      <c r="T120" s="7"/>
      <c r="U120" s="49"/>
      <c r="V120" s="7"/>
      <c r="W120" s="7"/>
      <c r="X120" s="7"/>
      <c r="Y120" s="7"/>
      <c r="Z120" s="7"/>
      <c r="AC120" s="7"/>
      <c r="AD120" s="7"/>
      <c r="AE120" s="7"/>
      <c r="AF120" s="7"/>
      <c r="AG120" s="7"/>
      <c r="AH120" s="7"/>
      <c r="AI120" s="49"/>
      <c r="AJ120" s="49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</row>
    <row r="121" spans="1:67" ht="15" customHeight="1" x14ac:dyDescent="0.25">
      <c r="A121" s="7"/>
      <c r="B121" s="35" t="s">
        <v>35</v>
      </c>
      <c r="C121" s="7"/>
      <c r="D121" s="7">
        <f ca="1">+K113</f>
        <v>0</v>
      </c>
      <c r="E121" s="7"/>
      <c r="F121" s="32" t="s">
        <v>36</v>
      </c>
      <c r="G121" s="7" t="s">
        <v>37</v>
      </c>
      <c r="H121" s="7">
        <v>0</v>
      </c>
      <c r="I121" s="7"/>
      <c r="J121" s="7"/>
      <c r="K121" s="7" t="s">
        <v>38</v>
      </c>
      <c r="L121" s="7"/>
      <c r="M121" s="36">
        <f ca="1">+IF(M118&gt;M119,M119,M118)</f>
        <v>0</v>
      </c>
      <c r="N121" s="7"/>
      <c r="O121" s="34"/>
      <c r="P121" s="18"/>
      <c r="Q121" s="7"/>
      <c r="R121" s="7"/>
      <c r="S121" s="7"/>
      <c r="T121" s="7"/>
      <c r="U121" s="49"/>
      <c r="V121" s="7"/>
      <c r="W121" s="7"/>
      <c r="X121" s="7"/>
      <c r="Y121" s="7"/>
      <c r="Z121" s="7"/>
      <c r="AC121" s="7"/>
      <c r="AD121" s="7"/>
      <c r="AE121" s="7"/>
      <c r="AF121" s="7"/>
      <c r="AG121" s="7"/>
      <c r="AH121" s="7"/>
      <c r="AI121" s="49"/>
      <c r="AJ121" s="49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</row>
    <row r="122" spans="1:67" ht="15" customHeight="1" x14ac:dyDescent="0.25">
      <c r="A122" s="7"/>
      <c r="B122" s="7" t="s">
        <v>39</v>
      </c>
      <c r="C122" s="7"/>
      <c r="D122" s="7">
        <v>0</v>
      </c>
      <c r="E122" s="7"/>
      <c r="F122" s="32" t="s">
        <v>40</v>
      </c>
      <c r="G122" s="7" t="s">
        <v>41</v>
      </c>
      <c r="H122" s="7">
        <f ca="1">+IF(O97="HBA HOUSE",O113,0)</f>
        <v>0</v>
      </c>
      <c r="I122" s="35"/>
      <c r="J122" s="35"/>
      <c r="K122" s="7"/>
      <c r="L122" s="7"/>
      <c r="M122" s="7"/>
      <c r="N122" s="7"/>
      <c r="O122" s="34"/>
      <c r="P122" s="18"/>
      <c r="Q122" s="7"/>
      <c r="R122" s="7"/>
      <c r="S122" s="7"/>
      <c r="T122" s="7"/>
      <c r="U122" s="49"/>
      <c r="V122" s="7"/>
      <c r="W122" s="7"/>
      <c r="X122" s="7"/>
      <c r="Y122" s="7"/>
      <c r="Z122" s="7"/>
      <c r="AC122" s="7"/>
      <c r="AD122" s="7"/>
      <c r="AE122" s="7"/>
      <c r="AF122" s="7"/>
      <c r="AG122" s="7"/>
      <c r="AH122" s="7"/>
      <c r="AI122" s="49"/>
      <c r="AJ122" s="49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</row>
    <row r="123" spans="1:67" ht="15" customHeight="1" x14ac:dyDescent="0.25">
      <c r="A123" s="7"/>
      <c r="B123" s="35" t="s">
        <v>42</v>
      </c>
      <c r="C123" s="7"/>
      <c r="D123" s="18">
        <f>IF(C135=0,0,MIN(D132:D136))</f>
        <v>0</v>
      </c>
      <c r="E123" s="7"/>
      <c r="F123" s="32" t="s">
        <v>43</v>
      </c>
      <c r="G123" s="35" t="s">
        <v>44</v>
      </c>
      <c r="H123" s="7">
        <v>0</v>
      </c>
      <c r="I123" s="7"/>
      <c r="J123" s="7"/>
      <c r="K123" s="7" t="s">
        <v>45</v>
      </c>
      <c r="L123" s="7"/>
      <c r="M123" s="33">
        <f ca="1">IF(M117&gt;500000,0,IF(M121&gt;=12500,12500,M121))</f>
        <v>0</v>
      </c>
      <c r="N123" s="7"/>
      <c r="O123" s="34"/>
      <c r="P123" s="18"/>
      <c r="Q123" s="7"/>
      <c r="R123" s="7"/>
      <c r="S123" s="7"/>
      <c r="T123" s="7"/>
      <c r="U123" s="49"/>
      <c r="V123" s="7"/>
      <c r="W123" s="7"/>
      <c r="X123" s="7"/>
      <c r="Y123" s="7"/>
      <c r="Z123" s="7"/>
      <c r="AC123" s="7"/>
      <c r="AD123" s="7"/>
      <c r="AE123" s="7"/>
      <c r="AF123" s="7"/>
      <c r="AG123" s="7"/>
      <c r="AH123" s="7"/>
      <c r="AI123" s="49"/>
      <c r="AJ123" s="49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</row>
    <row r="124" spans="1:67" ht="15" customHeight="1" x14ac:dyDescent="0.25">
      <c r="A124" s="7"/>
      <c r="B124" s="7" t="s">
        <v>46</v>
      </c>
      <c r="C124" s="7"/>
      <c r="D124" s="7">
        <v>0</v>
      </c>
      <c r="E124" s="7"/>
      <c r="F124" s="32" t="s">
        <v>47</v>
      </c>
      <c r="G124" s="7" t="s">
        <v>48</v>
      </c>
      <c r="H124" s="7">
        <v>0</v>
      </c>
      <c r="I124" s="7"/>
      <c r="J124" s="7"/>
      <c r="K124" s="7" t="s">
        <v>49</v>
      </c>
      <c r="L124" s="7"/>
      <c r="M124" s="36">
        <f ca="1">+M121-M123</f>
        <v>0</v>
      </c>
      <c r="N124" s="7"/>
      <c r="O124" s="34"/>
      <c r="P124" s="18"/>
      <c r="Q124" s="7"/>
      <c r="R124" s="7"/>
      <c r="S124" s="7"/>
      <c r="T124" s="7"/>
      <c r="U124" s="49"/>
      <c r="V124" s="7"/>
      <c r="W124" s="7"/>
      <c r="X124" s="7"/>
      <c r="Y124" s="7"/>
      <c r="Z124" s="7"/>
      <c r="AC124" s="7"/>
      <c r="AD124" s="7"/>
      <c r="AE124" s="7"/>
      <c r="AF124" s="7"/>
      <c r="AG124" s="7"/>
      <c r="AH124" s="7"/>
      <c r="AI124" s="49"/>
      <c r="AJ124" s="49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</row>
    <row r="125" spans="1:67" ht="15" customHeight="1" x14ac:dyDescent="0.25">
      <c r="A125" s="7"/>
      <c r="B125" s="35" t="s">
        <v>50</v>
      </c>
      <c r="C125" s="7"/>
      <c r="D125" s="7">
        <f>+IF(O97=B125,O113,0)</f>
        <v>0</v>
      </c>
      <c r="E125" s="7"/>
      <c r="F125" s="32" t="s">
        <v>51</v>
      </c>
      <c r="G125" s="7" t="s">
        <v>52</v>
      </c>
      <c r="H125" s="7">
        <v>0</v>
      </c>
      <c r="I125" s="7"/>
      <c r="J125" s="7"/>
      <c r="K125" s="7" t="s">
        <v>53</v>
      </c>
      <c r="L125" s="7"/>
      <c r="M125" s="7">
        <f ca="1">ROUND(M124*4%,0)</f>
        <v>0</v>
      </c>
      <c r="N125" s="7"/>
      <c r="O125" s="34"/>
      <c r="P125" s="18"/>
      <c r="Q125" s="7"/>
      <c r="R125" s="7"/>
      <c r="S125" s="7"/>
      <c r="T125" s="7"/>
      <c r="U125" s="49"/>
      <c r="V125" s="7"/>
      <c r="W125" s="7"/>
      <c r="X125" s="7"/>
      <c r="Y125" s="7"/>
      <c r="Z125" s="7"/>
      <c r="AC125" s="7"/>
      <c r="AD125" s="7"/>
      <c r="AE125" s="7"/>
      <c r="AF125" s="7"/>
      <c r="AG125" s="7"/>
      <c r="AH125" s="7"/>
      <c r="AI125" s="49"/>
      <c r="AJ125" s="49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</row>
    <row r="126" spans="1:67" ht="15" customHeight="1" x14ac:dyDescent="0.25">
      <c r="A126" s="7"/>
      <c r="B126" s="7"/>
      <c r="C126" s="7"/>
      <c r="D126" s="7"/>
      <c r="E126" s="7"/>
      <c r="F126" s="32" t="s">
        <v>54</v>
      </c>
      <c r="G126" s="7" t="s">
        <v>55</v>
      </c>
      <c r="H126" s="7">
        <v>0</v>
      </c>
      <c r="I126" s="7"/>
      <c r="J126" s="37"/>
      <c r="K126" s="35" t="s">
        <v>56</v>
      </c>
      <c r="L126" s="35"/>
      <c r="M126" s="36">
        <f ca="1">+M124+M125</f>
        <v>0</v>
      </c>
      <c r="N126" s="7"/>
      <c r="O126" s="34"/>
      <c r="P126" s="18"/>
      <c r="Q126" s="7"/>
      <c r="R126" s="7"/>
      <c r="S126" s="7"/>
      <c r="T126" s="7"/>
      <c r="U126" s="49"/>
      <c r="V126" s="7"/>
      <c r="W126" s="7"/>
      <c r="X126" s="7"/>
      <c r="Y126" s="7"/>
      <c r="Z126" s="7"/>
      <c r="AC126" s="7"/>
      <c r="AD126" s="7"/>
      <c r="AE126" s="7"/>
      <c r="AF126" s="7"/>
      <c r="AG126" s="7"/>
      <c r="AH126" s="7"/>
      <c r="AI126" s="49"/>
      <c r="AJ126" s="49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</row>
    <row r="127" spans="1:67" ht="15" customHeight="1" x14ac:dyDescent="0.25">
      <c r="A127" s="7"/>
      <c r="B127" s="38" t="s">
        <v>57</v>
      </c>
      <c r="C127" s="7"/>
      <c r="D127" s="7">
        <f ca="1">SUM(D119:D124)+IF(D125&gt;200000, 200000,D125 )</f>
        <v>50000</v>
      </c>
      <c r="E127" s="7"/>
      <c r="F127" s="32" t="s">
        <v>58</v>
      </c>
      <c r="G127" s="7" t="s">
        <v>59</v>
      </c>
      <c r="H127" s="7">
        <v>0</v>
      </c>
      <c r="I127" s="7"/>
      <c r="J127" s="7"/>
      <c r="K127" s="7" t="s">
        <v>60</v>
      </c>
      <c r="L127" s="7"/>
      <c r="M127" s="18">
        <f ca="1">+R113</f>
        <v>0</v>
      </c>
      <c r="N127" s="7"/>
      <c r="O127" s="34"/>
      <c r="P127" s="18"/>
      <c r="Q127" s="7"/>
      <c r="R127" s="7"/>
      <c r="S127" s="7"/>
      <c r="T127" s="7"/>
      <c r="U127" s="49"/>
      <c r="V127" s="7"/>
      <c r="W127" s="7"/>
      <c r="X127" s="7"/>
      <c r="Y127" s="7"/>
      <c r="Z127" s="7"/>
      <c r="AC127" s="7"/>
      <c r="AD127" s="7"/>
      <c r="AE127" s="7"/>
      <c r="AF127" s="7"/>
      <c r="AG127" s="7"/>
      <c r="AH127" s="7"/>
      <c r="AI127" s="49"/>
      <c r="AJ127" s="49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</row>
    <row r="128" spans="1:67" ht="24" customHeight="1" x14ac:dyDescent="0.25">
      <c r="A128" s="7"/>
      <c r="B128" s="77" t="s">
        <v>61</v>
      </c>
      <c r="C128" s="7"/>
      <c r="D128" s="39">
        <f ca="1">+D117-D127</f>
        <v>-50000</v>
      </c>
      <c r="E128" s="7"/>
      <c r="F128" s="32" t="s">
        <v>62</v>
      </c>
      <c r="G128" s="7" t="s">
        <v>63</v>
      </c>
      <c r="H128" s="7">
        <v>0</v>
      </c>
      <c r="I128" s="7"/>
      <c r="J128" s="7"/>
      <c r="K128" s="7" t="s">
        <v>64</v>
      </c>
      <c r="L128" s="7"/>
      <c r="M128" s="36">
        <v>0</v>
      </c>
      <c r="N128" s="7"/>
      <c r="O128" s="34"/>
      <c r="P128" s="18"/>
      <c r="Q128" s="7"/>
      <c r="R128" s="7"/>
      <c r="S128" s="7"/>
      <c r="T128" s="7"/>
      <c r="U128" s="49"/>
      <c r="V128" s="7"/>
      <c r="W128" s="7"/>
      <c r="X128" s="7"/>
      <c r="Y128" s="7"/>
      <c r="Z128" s="7"/>
      <c r="AC128" s="7"/>
      <c r="AD128" s="7"/>
      <c r="AE128" s="7"/>
      <c r="AF128" s="7"/>
      <c r="AG128" s="7"/>
      <c r="AH128" s="7"/>
      <c r="AI128" s="49"/>
      <c r="AJ128" s="49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</row>
    <row r="129" spans="1:67" ht="15" customHeight="1" x14ac:dyDescent="0.25">
      <c r="A129" s="7"/>
      <c r="B129" s="7"/>
      <c r="C129" s="7"/>
      <c r="D129" s="7"/>
      <c r="E129" s="7"/>
      <c r="F129" s="7"/>
      <c r="G129" s="40" t="s">
        <v>65</v>
      </c>
      <c r="H129" s="7">
        <f ca="1">SUM(H118:H128)</f>
        <v>0</v>
      </c>
      <c r="I129" s="7"/>
      <c r="J129" s="30"/>
      <c r="K129" s="35"/>
      <c r="L129" s="7"/>
      <c r="M129" s="18"/>
      <c r="N129" s="7"/>
      <c r="O129" s="34"/>
      <c r="P129" s="18"/>
      <c r="Q129" s="7"/>
      <c r="R129" s="7"/>
      <c r="S129" s="7"/>
      <c r="T129" s="7"/>
      <c r="U129" s="49"/>
      <c r="V129" s="7"/>
      <c r="W129" s="7"/>
      <c r="X129" s="7"/>
      <c r="Y129" s="7"/>
      <c r="Z129" s="7"/>
      <c r="AC129" s="7"/>
      <c r="AD129" s="7"/>
      <c r="AE129" s="7"/>
      <c r="AF129" s="7"/>
      <c r="AG129" s="7"/>
      <c r="AH129" s="7"/>
      <c r="AI129" s="49"/>
      <c r="AJ129" s="49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</row>
    <row r="130" spans="1:67" ht="15" customHeight="1" thickBot="1" x14ac:dyDescent="0.3">
      <c r="A130" s="7"/>
      <c r="B130" s="7"/>
      <c r="C130" s="7"/>
      <c r="D130" s="7"/>
      <c r="E130" s="7"/>
      <c r="F130" s="7"/>
      <c r="G130" s="38" t="s">
        <v>66</v>
      </c>
      <c r="H130" s="39">
        <f ca="1">+IF(H129&lt;=150000,H129,150000)</f>
        <v>0</v>
      </c>
      <c r="I130" s="7"/>
      <c r="J130" s="35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49"/>
      <c r="V130" s="7"/>
      <c r="W130" s="7"/>
      <c r="X130" s="7"/>
      <c r="Y130" s="7"/>
      <c r="Z130" s="7"/>
      <c r="AC130" s="7"/>
      <c r="AD130" s="7"/>
      <c r="AE130" s="7"/>
      <c r="AF130" s="7"/>
      <c r="AG130" s="7"/>
      <c r="AH130" s="7"/>
      <c r="AI130" s="49"/>
      <c r="AJ130" s="49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</row>
    <row r="131" spans="1:67" ht="15.75" customHeight="1" thickBot="1" x14ac:dyDescent="0.3">
      <c r="A131" s="7"/>
      <c r="B131" s="38" t="s">
        <v>67</v>
      </c>
      <c r="C131" s="38"/>
      <c r="D131" s="38"/>
      <c r="E131" s="7"/>
      <c r="F131" s="7"/>
      <c r="G131" s="7"/>
      <c r="H131" s="7"/>
      <c r="I131" s="30"/>
      <c r="J131" s="7"/>
      <c r="K131" s="7" t="s">
        <v>68</v>
      </c>
      <c r="L131" s="42"/>
      <c r="M131" s="41">
        <f ca="1">+M126-M127-M128</f>
        <v>0</v>
      </c>
      <c r="N131" s="7"/>
      <c r="O131" s="7"/>
      <c r="P131" s="7"/>
      <c r="Q131" s="7"/>
      <c r="R131" s="7"/>
      <c r="S131" s="7"/>
      <c r="T131" s="7"/>
      <c r="U131" s="49"/>
      <c r="V131" s="7"/>
      <c r="W131" s="7"/>
      <c r="X131" s="7"/>
      <c r="Y131" s="7"/>
      <c r="Z131" s="7"/>
      <c r="AC131" s="7"/>
      <c r="AD131" s="7"/>
      <c r="AE131" s="7"/>
      <c r="AF131" s="7"/>
      <c r="AG131" s="7"/>
      <c r="AH131" s="7"/>
      <c r="AI131" s="49"/>
      <c r="AJ131" s="49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</row>
    <row r="132" spans="1:67" ht="15" customHeight="1" x14ac:dyDescent="0.25">
      <c r="A132" s="7"/>
      <c r="B132" s="4" t="s">
        <v>69</v>
      </c>
      <c r="C132" s="7"/>
      <c r="D132" s="4">
        <f ca="1">+E113</f>
        <v>0</v>
      </c>
      <c r="E132" s="7"/>
      <c r="F132" s="7"/>
      <c r="G132" s="30" t="s">
        <v>70</v>
      </c>
      <c r="H132" s="30"/>
      <c r="I132" s="3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49"/>
      <c r="V132" s="7"/>
      <c r="W132" s="7"/>
      <c r="X132" s="7"/>
      <c r="Y132" s="7"/>
      <c r="Z132" s="7"/>
      <c r="AC132" s="7"/>
      <c r="AD132" s="7"/>
      <c r="AE132" s="7"/>
      <c r="AF132" s="7"/>
      <c r="AG132" s="7"/>
      <c r="AH132" s="7"/>
      <c r="AI132" s="49"/>
      <c r="AJ132" s="49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</row>
    <row r="133" spans="1:67" ht="15" customHeight="1" x14ac:dyDescent="0.25">
      <c r="A133" s="7"/>
      <c r="B133" s="7" t="s">
        <v>71</v>
      </c>
      <c r="C133" s="7"/>
      <c r="D133" s="22">
        <f ca="1">+(C113+D113)*40/100</f>
        <v>0</v>
      </c>
      <c r="E133" s="7"/>
      <c r="F133" s="32" t="s">
        <v>28</v>
      </c>
      <c r="G133" s="7" t="s">
        <v>72</v>
      </c>
      <c r="H133" s="43">
        <f ca="1">+IF(AND(H113&gt;0,L113&gt;50000),50000,IF(H113&gt;0,L113,0))</f>
        <v>0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49"/>
      <c r="V133" s="7"/>
      <c r="W133" s="7"/>
      <c r="X133" s="7"/>
      <c r="Y133" s="7"/>
      <c r="Z133" s="7"/>
      <c r="AC133" s="7"/>
      <c r="AD133" s="7"/>
      <c r="AE133" s="7"/>
      <c r="AF133" s="7"/>
      <c r="AG133" s="7"/>
      <c r="AH133" s="7"/>
      <c r="AI133" s="49"/>
      <c r="AJ133" s="49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</row>
    <row r="134" spans="1:67" ht="15" customHeight="1" x14ac:dyDescent="0.25">
      <c r="A134" s="7"/>
      <c r="B134" s="7" t="s">
        <v>73</v>
      </c>
      <c r="C134" s="22">
        <f ca="1">+(C113+D113)*10/100</f>
        <v>0</v>
      </c>
      <c r="D134" s="7"/>
      <c r="E134" s="7"/>
      <c r="F134" s="32" t="s">
        <v>31</v>
      </c>
      <c r="G134" s="7" t="s">
        <v>9</v>
      </c>
      <c r="H134" s="7">
        <f ca="1">+H113</f>
        <v>0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49"/>
      <c r="V134" s="7"/>
      <c r="W134" s="7"/>
      <c r="X134" s="7"/>
      <c r="Y134" s="7"/>
      <c r="Z134" s="7"/>
      <c r="AC134" s="7"/>
      <c r="AD134" s="7"/>
      <c r="AE134" s="7"/>
      <c r="AF134" s="7"/>
      <c r="AG134" s="7"/>
      <c r="AH134" s="7"/>
      <c r="AI134" s="49"/>
      <c r="AJ134" s="49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</row>
    <row r="135" spans="1:67" ht="15" customHeight="1" x14ac:dyDescent="0.25">
      <c r="A135" s="7"/>
      <c r="B135" s="4" t="s">
        <v>19</v>
      </c>
      <c r="C135" s="44">
        <v>0</v>
      </c>
      <c r="D135" s="7"/>
      <c r="E135" s="7"/>
      <c r="F135" s="32" t="s">
        <v>33</v>
      </c>
      <c r="G135" s="35" t="s">
        <v>74</v>
      </c>
      <c r="H135" s="43">
        <f t="array" aca="1" ref="H135" ca="1">IFERROR(SUM(SUMIF(OFFSET('MAY-21'!$A$1,MATCH(Sheet1!A94,'MAY-21'!$A:$A,0),5,22,1),{"*C M Relief Fund*"},OFFSET('MAY-21'!$A$1,MATCH(Sheet1!A94,'MAY-21'!$A:$A,0),6,22,1)))+SUM(SUMIF(OFFSET('MAY-21'!$A$1,MATCH(Sheet1!A94,'MAY-21'!$A:$A,0),2,22,1),{"*C M Relief Fund*"},OFFSET('MAY-21'!$A$1,MATCH(Sheet1!A94,'MAY-21'!$A:$A,0),3,22,1))),0)</f>
        <v>0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49"/>
      <c r="V135" s="7"/>
      <c r="W135" s="7"/>
      <c r="X135" s="7"/>
      <c r="Y135" s="7"/>
      <c r="Z135" s="7"/>
      <c r="AC135" s="7"/>
      <c r="AD135" s="7"/>
      <c r="AE135" s="7"/>
      <c r="AF135" s="7"/>
      <c r="AG135" s="7"/>
      <c r="AH135" s="7"/>
      <c r="AI135" s="49"/>
      <c r="AJ135" s="49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</row>
    <row r="136" spans="1:67" ht="15" customHeight="1" x14ac:dyDescent="0.25">
      <c r="A136" s="7"/>
      <c r="B136" s="7" t="s">
        <v>75</v>
      </c>
      <c r="C136" s="7"/>
      <c r="D136" s="22">
        <f ca="1">+IF(C135&gt;C134,C135-C134, 0)</f>
        <v>0</v>
      </c>
      <c r="E136" s="7"/>
      <c r="F136" s="32" t="s">
        <v>76</v>
      </c>
      <c r="G136" s="35" t="s">
        <v>77</v>
      </c>
      <c r="H136" s="43">
        <v>0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49"/>
      <c r="V136" s="7"/>
      <c r="W136" s="7"/>
      <c r="X136" s="7"/>
      <c r="Y136" s="7"/>
      <c r="Z136" s="7"/>
      <c r="AC136" s="7"/>
      <c r="AD136" s="7"/>
      <c r="AE136" s="7"/>
      <c r="AF136" s="7"/>
      <c r="AG136" s="7"/>
      <c r="AH136" s="7"/>
      <c r="AI136" s="49"/>
      <c r="AJ136" s="49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</row>
    <row r="137" spans="1:67" ht="15" customHeight="1" x14ac:dyDescent="0.25">
      <c r="A137" s="7"/>
      <c r="B137" s="7"/>
      <c r="C137" s="7"/>
      <c r="D137" s="7"/>
      <c r="E137" s="7"/>
      <c r="F137" s="32" t="s">
        <v>40</v>
      </c>
      <c r="G137" s="7" t="s">
        <v>78</v>
      </c>
      <c r="H137" s="7">
        <v>0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49"/>
      <c r="V137" s="7"/>
      <c r="W137" s="7"/>
      <c r="X137" s="7"/>
      <c r="Y137" s="7"/>
      <c r="Z137" s="7"/>
      <c r="AC137" s="7"/>
      <c r="AD137" s="7"/>
      <c r="AE137" s="7"/>
      <c r="AF137" s="7"/>
      <c r="AG137" s="7"/>
      <c r="AH137" s="7"/>
      <c r="AI137" s="49"/>
      <c r="AJ137" s="49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</row>
    <row r="138" spans="1:67" ht="15" customHeight="1" x14ac:dyDescent="0.25">
      <c r="A138" s="7"/>
      <c r="B138" s="7"/>
      <c r="C138" s="7"/>
      <c r="D138" s="7"/>
      <c r="E138" s="7"/>
      <c r="F138" s="32" t="s">
        <v>43</v>
      </c>
      <c r="G138" s="7" t="s">
        <v>79</v>
      </c>
      <c r="H138" s="7">
        <v>0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49"/>
      <c r="V138" s="7"/>
      <c r="W138" s="7"/>
      <c r="X138" s="7"/>
      <c r="Y138" s="7"/>
      <c r="Z138" s="7"/>
      <c r="AC138" s="7"/>
      <c r="AD138" s="7"/>
      <c r="AE138" s="7"/>
      <c r="AF138" s="7"/>
      <c r="AG138" s="7"/>
      <c r="AH138" s="7"/>
      <c r="AI138" s="49"/>
      <c r="AJ138" s="49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</row>
    <row r="139" spans="1:67" ht="15" customHeight="1" x14ac:dyDescent="0.25">
      <c r="A139" s="4"/>
      <c r="B139" s="4"/>
      <c r="C139" s="4"/>
      <c r="D139" s="4"/>
      <c r="E139" s="4"/>
      <c r="F139" s="7"/>
      <c r="G139" s="7"/>
      <c r="H139" s="39">
        <f ca="1">SUM(H133:H138)</f>
        <v>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8"/>
      <c r="V139" s="4"/>
      <c r="W139" s="4"/>
      <c r="X139" s="4"/>
      <c r="Y139" s="4"/>
      <c r="Z139" s="4"/>
      <c r="AC139" s="4"/>
      <c r="AD139" s="4"/>
      <c r="AE139" s="4"/>
      <c r="AF139" s="4"/>
      <c r="AG139" s="4"/>
      <c r="AH139" s="4"/>
      <c r="AI139" s="48"/>
      <c r="AJ139" s="48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</row>
    <row r="140" spans="1:67" ht="15" customHeight="1" x14ac:dyDescent="0.25">
      <c r="U140" s="50"/>
    </row>
  </sheetData>
  <autoFilter ref="A1:BO140"/>
  <dataValidations count="10">
    <dataValidation allowBlank="1" showErrorMessage="1" sqref="AI5:BF5 AG5 BN5:BO5 BN98:BO98 AG51 AG98 BN51:BO51 AI51:BF51 AI98:BF98"/>
    <dataValidation allowBlank="1" showInputMessage="1" showErrorMessage="1" promptTitle="Amount" prompt="DO NOT enter comma(,) _x000a_Only two digits after decimal_x000a_Do not use Currency symbol_x000a__x000a_e.g. 10000.20_x000a_       34000.00_x000a__x000a_- SAG Infotech" sqref="BM3:BM4 BH3:BH4 BL3 AK3:AW3 AY3:BG3 BM49:BM50 BH49:BH50 BL49 AK49:AW49 AY49:BG49 BO49 BM96:BM97 BH96:BH97 BL96 AK96:AW96 BO96 AY96:BG96 BO3 BI97:BL97 BI50:BL50 BI4:BL4"/>
    <dataValidation allowBlank="1" showInputMessage="1" showErrorMessage="1" promptTitle="Employee PAN" prompt="Enter Valid PAN of 10 Digit._x000a__x000a_- SAG Infotech" sqref="AD3 AD49 AD96"/>
    <dataValidation allowBlank="1" showInputMessage="1" showErrorMessage="1" promptTitle="Employee Name" prompt="Enter Employee Name_x000a__x000a_- SAG Infotech" sqref="AE3 AE49 AE96"/>
    <dataValidation allowBlank="1" showInputMessage="1" showErrorMessage="1" promptTitle="Enter Date" prompt="The date format should be dd/MM/yyyy_x000a__x000a_e.g. 12th November, 2004 should be written as 12/11/2004_x000a__x000a_- SAG Infotech" sqref="AI3:AJ3 AI49:AJ49 AI96:AJ96"/>
    <dataValidation allowBlank="1" showInputMessage="1" showErrorMessage="1" promptTitle="Employee Ref. No." prompt="Unique Employee Ref. No._x000a__x000a_e.g. 1,2,3,4 or 5_x000a__x000a_- SAG Infotech" sqref="AC3 AC49 AC96"/>
    <dataValidation allowBlank="1" showInputMessage="1" showErrorMessage="1" promptTitle="Designation" prompt="Enter Employee Designation_x000a__x000a_- SAG Infotech" sqref="AF3 AF49 AF96"/>
    <dataValidation allowBlank="1" showInputMessage="1" showErrorMessage="1" promptTitle="Sex" prompt="Enter Employee Sex_x000a__x000a_- SAG Infotech" sqref="AG3 AG49 AG96"/>
    <dataValidation allowBlank="1" showInputMessage="1" showErrorMessage="1" promptTitle="Date of Birth" prompt="The date format should be dd/MM/yyyy_x000a__x000a_e.g. 12th November, 2004 should be written as 12/11/2004_x000a__x000a_If Date of Birth is unknown, please specify 00/00/0000 for Senior Citizen and 00/00/0001 for Super Senior Citizen_x000a__x000a_- SAG Infotech" sqref="AH3 AH49 AH96"/>
    <dataValidation allowBlank="1" showInputMessage="1" showErrorMessage="1" promptTitle="Manually Edit Standard Deduction" prompt="No or Yes" sqref="AX3 AX49 AX96"/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61" t="s">
        <v>84</v>
      </c>
      <c r="B1" s="62"/>
      <c r="C1" s="62"/>
      <c r="D1" s="62"/>
      <c r="E1" s="62"/>
      <c r="F1" s="62"/>
      <c r="G1" s="62"/>
      <c r="H1" s="62"/>
    </row>
  </sheetData>
  <hyperlinks>
    <hyperlink ref="A1" r:id="rId1" display="https://sevaarth.mahakosh.gov.in/hrms.htm?actionFlag=generatePayslip&amp;printOrNot=No&amp;selMonth=3&amp;selYear=2021&amp;selBill=882016120003&amp;employeeid=-1&amp;dsgnId=-1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61" t="s">
        <v>84</v>
      </c>
      <c r="B1" s="62"/>
      <c r="C1" s="62"/>
      <c r="D1" s="62"/>
      <c r="E1" s="62"/>
      <c r="F1" s="62"/>
      <c r="G1" s="62"/>
      <c r="H1" s="62"/>
    </row>
  </sheetData>
  <hyperlinks>
    <hyperlink ref="A1" r:id="rId1" display="https://sevaarth.mahakosh.gov.in/hrms.htm?actionFlag=generatePayslip&amp;printOrNot=No&amp;selMonth=4&amp;selYear=2021&amp;selBill=9920161209&amp;employeeid=-1&amp;dsgnId=-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61" t="s">
        <v>84</v>
      </c>
      <c r="B1" s="62"/>
      <c r="C1" s="62"/>
      <c r="D1" s="62"/>
      <c r="E1" s="62"/>
      <c r="F1" s="62"/>
      <c r="G1" s="62"/>
      <c r="H1" s="62"/>
    </row>
  </sheetData>
  <hyperlinks>
    <hyperlink ref="A1" r:id="rId1" display="https://sevaarth.mahakosh.gov.in/hrms.htm?actionFlag=generatePayslip&amp;printOrNot=No&amp;selMonth=5&amp;selYear=2021&amp;selBill=9920161209&amp;employeeid=-1&amp;dsgnId=-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61" t="s">
        <v>84</v>
      </c>
      <c r="B1" s="62"/>
      <c r="C1" s="62"/>
      <c r="D1" s="62"/>
      <c r="E1" s="62"/>
      <c r="F1" s="62"/>
      <c r="G1" s="62"/>
      <c r="H1" s="62"/>
    </row>
  </sheetData>
  <hyperlinks>
    <hyperlink ref="A1" r:id="rId1" display="https://sevaarth.mahakosh.gov.in/hrms.htm?actionFlag=generatePayslip&amp;printOrNot=No&amp;selMonth=6&amp;selYear=2021&amp;selBill=9920161209&amp;employeeid=-1&amp;dsgnId=-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61" t="s">
        <v>84</v>
      </c>
      <c r="B1" s="62"/>
      <c r="C1" s="62"/>
      <c r="D1" s="62"/>
      <c r="E1" s="62"/>
      <c r="F1" s="62"/>
      <c r="G1" s="62"/>
      <c r="H1" s="62"/>
    </row>
  </sheetData>
  <hyperlinks>
    <hyperlink ref="A1" r:id="rId1" display="https://sevaarth.mahakosh.gov.in/hrms.htm?actionFlag=generatePayslip&amp;printOrNot=No&amp;selMonth=7&amp;selYear=2021&amp;selBill=9920161209&amp;employeeid=-1&amp;dsgnId=-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61" t="s">
        <v>84</v>
      </c>
      <c r="B1" s="62"/>
      <c r="C1" s="62"/>
      <c r="D1" s="62"/>
      <c r="E1" s="62"/>
      <c r="F1" s="62"/>
      <c r="G1" s="62"/>
      <c r="H1" s="62"/>
    </row>
  </sheetData>
  <hyperlinks>
    <hyperlink ref="A1" r:id="rId1" display="https://sevaarth.mahakosh.gov.in/hrms.htm?actionFlag=generatePayslip&amp;printOrNot=No&amp;selMonth=8&amp;selYear=2021&amp;selBill=9920161209&amp;employeeid=-1&amp;dsgnId=-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1" x14ac:dyDescent="0.25">
      <c r="A1" s="5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1" x14ac:dyDescent="0.25">
      <c r="A1" s="5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55"/>
    </row>
    <row r="2" spans="1:8" x14ac:dyDescent="0.25">
      <c r="A2" s="1"/>
      <c r="B2" s="1"/>
      <c r="C2" s="1"/>
      <c r="D2" s="1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</row>
    <row r="6" spans="1:8" x14ac:dyDescent="0.25">
      <c r="A6" s="56"/>
      <c r="B6" s="56"/>
      <c r="C6" s="56"/>
    </row>
    <row r="7" spans="1:8" x14ac:dyDescent="0.25">
      <c r="A7" s="56"/>
      <c r="B7" s="56"/>
      <c r="C7" s="56"/>
      <c r="D7" s="56"/>
      <c r="E7" s="56"/>
      <c r="F7" s="56"/>
      <c r="G7" s="56"/>
      <c r="H7" s="56"/>
    </row>
    <row r="8" spans="1:8" x14ac:dyDescent="0.25">
      <c r="A8" s="1"/>
      <c r="B8" s="53"/>
      <c r="C8" s="1"/>
      <c r="D8" s="53"/>
      <c r="E8" s="57"/>
      <c r="F8" s="52"/>
      <c r="G8" s="53"/>
      <c r="H8" s="53"/>
    </row>
    <row r="9" spans="1:8" x14ac:dyDescent="0.25">
      <c r="A9" s="1"/>
      <c r="B9" s="53"/>
      <c r="C9" s="1"/>
      <c r="D9" s="53"/>
      <c r="E9" s="57"/>
    </row>
    <row r="10" spans="1:8" x14ac:dyDescent="0.25">
      <c r="A10" s="1"/>
      <c r="B10" s="53"/>
      <c r="C10" s="1"/>
      <c r="D10" s="53"/>
      <c r="E10" s="57"/>
    </row>
    <row r="11" spans="1:8" x14ac:dyDescent="0.25">
      <c r="A11" s="1"/>
      <c r="B11" s="53"/>
      <c r="C11" s="1"/>
      <c r="D11" s="53"/>
      <c r="E11" s="57"/>
    </row>
    <row r="12" spans="1:8" x14ac:dyDescent="0.25">
      <c r="A12" s="1"/>
      <c r="B12" s="53"/>
      <c r="C12" s="1"/>
      <c r="D12" s="53"/>
      <c r="E12" s="57"/>
    </row>
    <row r="13" spans="1:8" x14ac:dyDescent="0.25">
      <c r="A13" s="1"/>
      <c r="B13" s="53"/>
      <c r="C13" s="1"/>
      <c r="D13" s="53"/>
      <c r="E13" s="58"/>
    </row>
    <row r="14" spans="1:8" x14ac:dyDescent="0.25">
      <c r="A14" s="1"/>
      <c r="B14" s="53"/>
      <c r="C14" s="1"/>
      <c r="D14" s="1"/>
      <c r="E14" s="1"/>
    </row>
    <row r="15" spans="1:8" x14ac:dyDescent="0.25">
      <c r="A15" s="59"/>
      <c r="B15" s="60"/>
      <c r="C15" s="59"/>
      <c r="D15" s="60"/>
      <c r="E15" s="59"/>
      <c r="F15" s="59"/>
      <c r="G15" s="60"/>
      <c r="H15" s="59"/>
    </row>
    <row r="16" spans="1:8" x14ac:dyDescent="0.25">
      <c r="A16" s="52"/>
    </row>
    <row r="17" spans="1:8" x14ac:dyDescent="0.25">
      <c r="A17" s="52"/>
      <c r="B17" s="52"/>
    </row>
    <row r="18" spans="1:8" x14ac:dyDescent="0.25">
      <c r="A18" s="52"/>
      <c r="B18" s="52"/>
      <c r="C18" s="56"/>
    </row>
    <row r="19" spans="1:8" x14ac:dyDescent="0.25">
      <c r="A19" s="54"/>
    </row>
    <row r="20" spans="1:8" x14ac:dyDescent="0.25">
      <c r="A20" s="54"/>
    </row>
    <row r="21" spans="1:8" x14ac:dyDescent="0.25">
      <c r="A21" s="54"/>
    </row>
    <row r="22" spans="1:8" x14ac:dyDescent="0.25">
      <c r="A22" s="54"/>
    </row>
    <row r="23" spans="1:8" x14ac:dyDescent="0.25">
      <c r="A23" s="54"/>
    </row>
    <row r="24" spans="1:8" x14ac:dyDescent="0.25">
      <c r="A24" s="1"/>
      <c r="B24" s="1"/>
      <c r="C24" s="52"/>
    </row>
    <row r="25" spans="1:8" x14ac:dyDescent="0.25">
      <c r="A25" s="1"/>
      <c r="B25" s="1"/>
      <c r="C25" s="1"/>
      <c r="D25" s="1"/>
    </row>
    <row r="26" spans="1:8" x14ac:dyDescent="0.25">
      <c r="A26" s="1"/>
      <c r="B26" s="1"/>
      <c r="C26" s="1"/>
      <c r="D26" s="1"/>
    </row>
    <row r="27" spans="1:8" x14ac:dyDescent="0.25">
      <c r="A27" s="1"/>
      <c r="B27" s="1"/>
      <c r="C27" s="1"/>
      <c r="D27" s="1"/>
    </row>
    <row r="28" spans="1:8" x14ac:dyDescent="0.25">
      <c r="A28" s="1"/>
      <c r="B28" s="1"/>
      <c r="C28" s="1"/>
      <c r="D28" s="1"/>
    </row>
    <row r="29" spans="1:8" x14ac:dyDescent="0.25">
      <c r="A29" s="1"/>
      <c r="B29" s="1"/>
      <c r="C29" s="1"/>
    </row>
    <row r="30" spans="1:8" x14ac:dyDescent="0.25">
      <c r="A30" s="56"/>
      <c r="B30" s="56"/>
      <c r="C30" s="56"/>
    </row>
    <row r="31" spans="1:8" x14ac:dyDescent="0.25">
      <c r="A31" s="56"/>
      <c r="B31" s="56"/>
      <c r="C31" s="56"/>
      <c r="D31" s="56"/>
      <c r="E31" s="56"/>
      <c r="F31" s="56"/>
      <c r="G31" s="56"/>
      <c r="H31" s="56"/>
    </row>
    <row r="32" spans="1:8" x14ac:dyDescent="0.25">
      <c r="A32" s="1"/>
      <c r="B32" s="53"/>
      <c r="C32" s="1"/>
      <c r="D32" s="53"/>
      <c r="E32" s="57"/>
      <c r="F32" s="52"/>
      <c r="G32" s="53"/>
      <c r="H32" s="53"/>
    </row>
    <row r="33" spans="1:8" x14ac:dyDescent="0.25">
      <c r="A33" s="1"/>
      <c r="B33" s="53"/>
      <c r="C33" s="1"/>
      <c r="D33" s="53"/>
      <c r="E33" s="57"/>
      <c r="F33" s="52"/>
      <c r="G33" s="53"/>
      <c r="H33" s="53"/>
    </row>
    <row r="34" spans="1:8" x14ac:dyDescent="0.25">
      <c r="A34" s="1"/>
      <c r="B34" s="53"/>
      <c r="C34" s="1"/>
      <c r="D34" s="53"/>
      <c r="E34" s="57"/>
      <c r="F34" s="1"/>
      <c r="G34" s="1"/>
      <c r="H34" s="1"/>
    </row>
    <row r="35" spans="1:8" x14ac:dyDescent="0.25">
      <c r="A35" s="1"/>
      <c r="B35" s="53"/>
      <c r="C35" s="1"/>
      <c r="D35" s="53"/>
      <c r="E35" s="57"/>
      <c r="F35" s="1"/>
      <c r="G35" s="1"/>
      <c r="H35" s="1"/>
    </row>
    <row r="36" spans="1:8" x14ac:dyDescent="0.25">
      <c r="A36" s="1"/>
      <c r="B36" s="53"/>
      <c r="C36" s="1"/>
      <c r="D36" s="53"/>
      <c r="E36" s="58"/>
      <c r="F36" s="1"/>
      <c r="G36" s="1"/>
      <c r="H36" s="1"/>
    </row>
    <row r="37" spans="1:8" x14ac:dyDescent="0.25">
      <c r="A37" s="1"/>
      <c r="B37" s="53"/>
      <c r="C37" s="1"/>
      <c r="D37" s="1"/>
      <c r="E37" s="1"/>
      <c r="F37" s="1"/>
      <c r="G37" s="1"/>
      <c r="H37" s="1"/>
    </row>
    <row r="38" spans="1:8" x14ac:dyDescent="0.25">
      <c r="A38" s="1"/>
      <c r="B38" s="53"/>
      <c r="C38" s="1"/>
      <c r="D38" s="1"/>
      <c r="E38" s="1"/>
      <c r="F38" s="1"/>
      <c r="G38" s="1"/>
      <c r="H38" s="1"/>
    </row>
    <row r="39" spans="1:8" x14ac:dyDescent="0.25">
      <c r="A39" s="1"/>
      <c r="B39" s="53"/>
      <c r="C39" s="1"/>
      <c r="D39" s="1"/>
      <c r="E39" s="1"/>
      <c r="F39" s="1"/>
      <c r="G39" s="1"/>
      <c r="H39" s="1"/>
    </row>
    <row r="40" spans="1:8" x14ac:dyDescent="0.25">
      <c r="A40" s="1"/>
      <c r="B40" s="53"/>
      <c r="C40" s="1"/>
      <c r="D40" s="1"/>
      <c r="E40" s="1"/>
      <c r="F40" s="1"/>
      <c r="G40" s="1"/>
      <c r="H40" s="1"/>
    </row>
    <row r="41" spans="1:8" x14ac:dyDescent="0.25">
      <c r="A41" s="1"/>
      <c r="B41" s="53"/>
      <c r="C41" s="1"/>
      <c r="D41" s="1"/>
      <c r="E41" s="1"/>
      <c r="F41" s="1"/>
      <c r="G41" s="1"/>
      <c r="H41" s="1"/>
    </row>
    <row r="42" spans="1:8" x14ac:dyDescent="0.25">
      <c r="A42" s="59"/>
      <c r="B42" s="60"/>
      <c r="C42" s="59"/>
      <c r="D42" s="60"/>
      <c r="E42" s="59"/>
      <c r="F42" s="59"/>
      <c r="G42" s="60"/>
      <c r="H42" s="59"/>
    </row>
    <row r="43" spans="1:8" x14ac:dyDescent="0.25">
      <c r="A43" s="52"/>
    </row>
    <row r="44" spans="1:8" x14ac:dyDescent="0.25">
      <c r="A44" s="52"/>
      <c r="B44" s="52"/>
    </row>
    <row r="45" spans="1:8" x14ac:dyDescent="0.25">
      <c r="A45" s="52"/>
      <c r="B45" s="52"/>
      <c r="C45" s="56"/>
    </row>
    <row r="46" spans="1:8" x14ac:dyDescent="0.25">
      <c r="A46" s="54"/>
    </row>
    <row r="47" spans="1:8" x14ac:dyDescent="0.25">
      <c r="A47" s="54"/>
    </row>
    <row r="48" spans="1:8" x14ac:dyDescent="0.25">
      <c r="A48" s="54"/>
    </row>
    <row r="49" spans="1:8" x14ac:dyDescent="0.25">
      <c r="A49" s="54"/>
    </row>
    <row r="50" spans="1:8" x14ac:dyDescent="0.25">
      <c r="A50" s="54"/>
    </row>
    <row r="51" spans="1:8" x14ac:dyDescent="0.25">
      <c r="A51" s="1"/>
      <c r="B51" s="1"/>
      <c r="C51" s="52"/>
    </row>
    <row r="52" spans="1:8" x14ac:dyDescent="0.25">
      <c r="A52" s="1"/>
      <c r="B52" s="1"/>
      <c r="C52" s="1"/>
      <c r="D52" s="1"/>
    </row>
    <row r="53" spans="1:8" x14ac:dyDescent="0.25">
      <c r="A53" s="1"/>
      <c r="B53" s="1"/>
      <c r="C53" s="1"/>
      <c r="D53" s="1"/>
    </row>
    <row r="54" spans="1:8" x14ac:dyDescent="0.25">
      <c r="A54" s="1"/>
      <c r="B54" s="1"/>
      <c r="C54" s="1"/>
      <c r="D54" s="1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</row>
    <row r="57" spans="1:8" x14ac:dyDescent="0.25">
      <c r="A57" s="56"/>
      <c r="B57" s="56"/>
      <c r="C57" s="56"/>
    </row>
    <row r="58" spans="1:8" x14ac:dyDescent="0.25">
      <c r="A58" s="56"/>
      <c r="B58" s="56"/>
      <c r="C58" s="56"/>
      <c r="D58" s="56"/>
      <c r="E58" s="56"/>
      <c r="F58" s="56"/>
      <c r="G58" s="56"/>
      <c r="H58" s="56"/>
    </row>
    <row r="59" spans="1:8" x14ac:dyDescent="0.25">
      <c r="A59" s="1"/>
      <c r="B59" s="53"/>
      <c r="C59" s="1"/>
      <c r="D59" s="53"/>
      <c r="E59" s="57"/>
      <c r="F59" s="52"/>
      <c r="G59" s="53"/>
      <c r="H59" s="53"/>
    </row>
    <row r="60" spans="1:8" x14ac:dyDescent="0.25">
      <c r="A60" s="1"/>
      <c r="B60" s="53"/>
      <c r="C60" s="1"/>
      <c r="D60" s="53"/>
      <c r="E60" s="57"/>
      <c r="F60" s="52"/>
      <c r="G60" s="53"/>
      <c r="H60" s="53"/>
    </row>
    <row r="61" spans="1:8" x14ac:dyDescent="0.25">
      <c r="A61" s="1"/>
      <c r="B61" s="53"/>
      <c r="C61" s="1"/>
      <c r="D61" s="53"/>
      <c r="E61" s="57"/>
      <c r="F61" s="1"/>
      <c r="G61" s="1"/>
      <c r="H61" s="1"/>
    </row>
    <row r="62" spans="1:8" x14ac:dyDescent="0.25">
      <c r="A62" s="1"/>
      <c r="B62" s="53"/>
      <c r="C62" s="1"/>
      <c r="D62" s="53"/>
      <c r="E62" s="57"/>
      <c r="F62" s="1"/>
      <c r="G62" s="1"/>
      <c r="H62" s="1"/>
    </row>
    <row r="63" spans="1:8" x14ac:dyDescent="0.25">
      <c r="A63" s="1"/>
      <c r="B63" s="53"/>
      <c r="C63" s="1"/>
      <c r="D63" s="53"/>
      <c r="E63" s="57"/>
      <c r="F63" s="1"/>
      <c r="G63" s="1"/>
      <c r="H63" s="1"/>
    </row>
    <row r="64" spans="1:8" x14ac:dyDescent="0.25">
      <c r="A64" s="1"/>
      <c r="B64" s="53"/>
      <c r="C64" s="1"/>
      <c r="D64" s="1"/>
      <c r="E64" s="1"/>
      <c r="F64" s="1"/>
      <c r="G64" s="1"/>
      <c r="H64" s="1"/>
    </row>
    <row r="65" spans="1:8" x14ac:dyDescent="0.25">
      <c r="A65" s="1"/>
      <c r="B65" s="53"/>
      <c r="C65" s="1"/>
      <c r="D65" s="1"/>
      <c r="E65" s="1"/>
      <c r="F65" s="1"/>
      <c r="G65" s="1"/>
      <c r="H65" s="1"/>
    </row>
    <row r="66" spans="1:8" x14ac:dyDescent="0.25">
      <c r="A66" s="1"/>
      <c r="B66" s="53"/>
      <c r="C66" s="1"/>
      <c r="D66" s="1"/>
      <c r="E66" s="1"/>
      <c r="F66" s="1"/>
      <c r="G66" s="1"/>
      <c r="H66" s="1"/>
    </row>
    <row r="67" spans="1:8" x14ac:dyDescent="0.25">
      <c r="A67" s="1"/>
      <c r="B67" s="53"/>
      <c r="C67" s="1"/>
      <c r="D67" s="1"/>
      <c r="E67" s="1"/>
      <c r="F67" s="1"/>
      <c r="G67" s="1"/>
      <c r="H67" s="1"/>
    </row>
    <row r="68" spans="1:8" x14ac:dyDescent="0.25">
      <c r="A68" s="1"/>
      <c r="B68" s="53"/>
      <c r="C68" s="1"/>
      <c r="D68" s="1"/>
      <c r="E68" s="1"/>
      <c r="F68" s="1"/>
      <c r="G68" s="1"/>
      <c r="H68" s="1"/>
    </row>
    <row r="69" spans="1:8" x14ac:dyDescent="0.25">
      <c r="A69" s="59"/>
      <c r="B69" s="60"/>
      <c r="C69" s="59"/>
      <c r="D69" s="60"/>
      <c r="E69" s="59"/>
      <c r="F69" s="59"/>
      <c r="G69" s="60"/>
      <c r="H69" s="59"/>
    </row>
    <row r="70" spans="1:8" x14ac:dyDescent="0.25">
      <c r="A70" s="52"/>
    </row>
    <row r="71" spans="1:8" x14ac:dyDescent="0.25">
      <c r="A71" s="52"/>
      <c r="B71" s="52"/>
    </row>
    <row r="72" spans="1:8" x14ac:dyDescent="0.25">
      <c r="A72" s="52"/>
      <c r="B72" s="52"/>
      <c r="C72" s="56"/>
    </row>
    <row r="73" spans="1:8" x14ac:dyDescent="0.25">
      <c r="A73" s="54"/>
    </row>
    <row r="74" spans="1:8" x14ac:dyDescent="0.25">
      <c r="A74" s="54"/>
    </row>
    <row r="75" spans="1:8" x14ac:dyDescent="0.25">
      <c r="A75" s="54"/>
    </row>
    <row r="76" spans="1:8" x14ac:dyDescent="0.25">
      <c r="A76" s="54"/>
    </row>
    <row r="77" spans="1:8" x14ac:dyDescent="0.25">
      <c r="A77" s="54"/>
    </row>
    <row r="78" spans="1:8" x14ac:dyDescent="0.25">
      <c r="A78" s="1"/>
      <c r="B78" s="1"/>
      <c r="C78" s="52"/>
    </row>
    <row r="79" spans="1:8" x14ac:dyDescent="0.25">
      <c r="A79" s="1"/>
      <c r="B79" s="1"/>
      <c r="C79" s="1"/>
      <c r="D79" s="1"/>
    </row>
    <row r="80" spans="1:8" x14ac:dyDescent="0.25">
      <c r="A80" s="1"/>
      <c r="B80" s="1"/>
      <c r="C80" s="1"/>
      <c r="D80" s="1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</row>
    <row r="84" spans="1:8" x14ac:dyDescent="0.25">
      <c r="A84" s="56"/>
      <c r="B84" s="56"/>
      <c r="C84" s="56"/>
    </row>
    <row r="85" spans="1:8" x14ac:dyDescent="0.25">
      <c r="A85" s="56"/>
      <c r="B85" s="56"/>
      <c r="C85" s="56"/>
      <c r="D85" s="56"/>
      <c r="E85" s="56"/>
      <c r="F85" s="56"/>
      <c r="G85" s="56"/>
      <c r="H85" s="56"/>
    </row>
    <row r="86" spans="1:8" x14ac:dyDescent="0.25">
      <c r="A86" s="1"/>
      <c r="B86" s="53"/>
      <c r="C86" s="1"/>
      <c r="D86" s="53"/>
      <c r="E86" s="57"/>
      <c r="F86" s="52"/>
      <c r="G86" s="53"/>
      <c r="H86" s="53"/>
    </row>
    <row r="87" spans="1:8" x14ac:dyDescent="0.25">
      <c r="A87" s="1"/>
      <c r="B87" s="53"/>
      <c r="C87" s="1"/>
      <c r="D87" s="53"/>
      <c r="E87" s="57"/>
      <c r="F87" s="52"/>
      <c r="G87" s="53"/>
      <c r="H87" s="53"/>
    </row>
    <row r="88" spans="1:8" x14ac:dyDescent="0.25">
      <c r="A88" s="1"/>
      <c r="B88" s="53"/>
      <c r="C88" s="1"/>
      <c r="D88" s="53"/>
      <c r="E88" s="57"/>
      <c r="F88" s="1"/>
      <c r="G88" s="1"/>
      <c r="H88" s="1"/>
    </row>
    <row r="89" spans="1:8" x14ac:dyDescent="0.25">
      <c r="A89" s="1"/>
      <c r="B89" s="53"/>
      <c r="C89" s="1"/>
      <c r="D89" s="53"/>
      <c r="E89" s="57"/>
      <c r="F89" s="1"/>
      <c r="G89" s="1"/>
      <c r="H89" s="1"/>
    </row>
    <row r="90" spans="1:8" x14ac:dyDescent="0.25">
      <c r="A90" s="1"/>
      <c r="B90" s="53"/>
      <c r="C90" s="1"/>
      <c r="D90" s="53"/>
      <c r="E90" s="57"/>
      <c r="F90" s="1"/>
      <c r="G90" s="1"/>
      <c r="H90" s="1"/>
    </row>
    <row r="91" spans="1:8" x14ac:dyDescent="0.25">
      <c r="A91" s="1"/>
      <c r="B91" s="53"/>
      <c r="C91" s="1"/>
      <c r="D91" s="1"/>
      <c r="E91" s="1"/>
      <c r="F91" s="1"/>
      <c r="G91" s="1"/>
      <c r="H91" s="1"/>
    </row>
    <row r="92" spans="1:8" x14ac:dyDescent="0.25">
      <c r="A92" s="1"/>
      <c r="B92" s="53"/>
      <c r="C92" s="1"/>
      <c r="D92" s="1"/>
      <c r="E92" s="1"/>
      <c r="F92" s="1"/>
      <c r="G92" s="1"/>
      <c r="H92" s="1"/>
    </row>
    <row r="93" spans="1:8" x14ac:dyDescent="0.25">
      <c r="A93" s="1"/>
      <c r="B93" s="53"/>
      <c r="C93" s="1"/>
      <c r="D93" s="1"/>
      <c r="E93" s="1"/>
      <c r="F93" s="1"/>
      <c r="G93" s="1"/>
      <c r="H93" s="1"/>
    </row>
    <row r="94" spans="1:8" x14ac:dyDescent="0.25">
      <c r="A94" s="1"/>
      <c r="B94" s="53"/>
      <c r="C94" s="1"/>
      <c r="D94" s="1"/>
      <c r="E94" s="1"/>
      <c r="F94" s="1"/>
      <c r="G94" s="1"/>
      <c r="H94" s="1"/>
    </row>
    <row r="95" spans="1:8" x14ac:dyDescent="0.25">
      <c r="A95" s="1"/>
      <c r="B95" s="53"/>
      <c r="C95" s="1"/>
      <c r="D95" s="1"/>
      <c r="E95" s="1"/>
      <c r="F95" s="1"/>
      <c r="G95" s="1"/>
      <c r="H95" s="1"/>
    </row>
    <row r="96" spans="1:8" x14ac:dyDescent="0.25">
      <c r="A96" s="59"/>
      <c r="B96" s="60"/>
      <c r="C96" s="59"/>
      <c r="D96" s="60"/>
      <c r="E96" s="59"/>
      <c r="F96" s="59"/>
      <c r="G96" s="60"/>
      <c r="H96" s="59"/>
    </row>
    <row r="97" spans="1:3" x14ac:dyDescent="0.25">
      <c r="A97" s="52"/>
    </row>
    <row r="98" spans="1:3" x14ac:dyDescent="0.25">
      <c r="A98" s="52"/>
      <c r="B98" s="52"/>
    </row>
    <row r="99" spans="1:3" x14ac:dyDescent="0.25">
      <c r="A99" s="52"/>
      <c r="B99" s="52"/>
      <c r="C99" s="56"/>
    </row>
    <row r="100" spans="1:3" x14ac:dyDescent="0.25">
      <c r="A100" s="54"/>
    </row>
    <row r="101" spans="1:3" x14ac:dyDescent="0.25">
      <c r="A101" s="54"/>
    </row>
    <row r="102" spans="1:3" x14ac:dyDescent="0.25">
      <c r="A102" s="54"/>
      <c r="B102" s="5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55"/>
    </row>
    <row r="2" spans="1:8" x14ac:dyDescent="0.25">
      <c r="A2" s="1"/>
      <c r="B2" s="1"/>
      <c r="C2" s="52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6"/>
      <c r="B9" s="56"/>
      <c r="C9" s="56"/>
    </row>
    <row r="10" spans="1:8" x14ac:dyDescent="0.25">
      <c r="A10" s="56"/>
      <c r="B10" s="56"/>
      <c r="C10" s="56"/>
      <c r="D10" s="56"/>
      <c r="E10" s="56"/>
      <c r="F10" s="56"/>
      <c r="G10" s="56"/>
      <c r="H10" s="56"/>
    </row>
    <row r="11" spans="1:8" x14ac:dyDescent="0.25">
      <c r="A11" s="1"/>
      <c r="B11" s="53"/>
      <c r="C11" s="1"/>
      <c r="D11" s="53"/>
      <c r="E11" s="57"/>
      <c r="F11" s="52"/>
      <c r="G11" s="53"/>
      <c r="H11" s="53"/>
    </row>
    <row r="12" spans="1:8" x14ac:dyDescent="0.25">
      <c r="A12" s="1"/>
      <c r="B12" s="53"/>
      <c r="C12" s="1"/>
      <c r="D12" s="53"/>
      <c r="E12" s="57"/>
    </row>
    <row r="13" spans="1:8" x14ac:dyDescent="0.25">
      <c r="A13" s="1"/>
      <c r="B13" s="53"/>
      <c r="C13" s="1"/>
      <c r="D13" s="53"/>
      <c r="E13" s="57"/>
    </row>
    <row r="14" spans="1:8" x14ac:dyDescent="0.25">
      <c r="A14" s="1"/>
      <c r="B14" s="53"/>
      <c r="C14" s="1"/>
      <c r="D14" s="53"/>
      <c r="E14" s="57"/>
    </row>
    <row r="15" spans="1:8" x14ac:dyDescent="0.25">
      <c r="A15" s="1"/>
      <c r="B15" s="53"/>
      <c r="C15" s="1"/>
      <c r="D15" s="53"/>
      <c r="E15" s="58"/>
    </row>
    <row r="16" spans="1:8" x14ac:dyDescent="0.25">
      <c r="A16" s="59"/>
      <c r="B16" s="60"/>
      <c r="C16" s="59"/>
      <c r="D16" s="60"/>
      <c r="E16" s="59"/>
      <c r="F16" s="59"/>
      <c r="G16" s="60"/>
      <c r="H16" s="59"/>
    </row>
    <row r="17" spans="1:4" x14ac:dyDescent="0.25">
      <c r="A17" s="52"/>
    </row>
    <row r="18" spans="1:4" x14ac:dyDescent="0.25">
      <c r="A18" s="52"/>
      <c r="B18" s="52"/>
    </row>
    <row r="19" spans="1:4" x14ac:dyDescent="0.25">
      <c r="A19" s="52"/>
      <c r="B19" s="52"/>
      <c r="C19" s="56"/>
    </row>
    <row r="20" spans="1:4" x14ac:dyDescent="0.25">
      <c r="A20" s="54"/>
    </row>
    <row r="21" spans="1:4" x14ac:dyDescent="0.25">
      <c r="A21" s="54"/>
    </row>
    <row r="22" spans="1:4" x14ac:dyDescent="0.25">
      <c r="A22" s="54"/>
    </row>
    <row r="23" spans="1:4" x14ac:dyDescent="0.25">
      <c r="A23" s="54"/>
    </row>
    <row r="24" spans="1:4" x14ac:dyDescent="0.25">
      <c r="A24" s="54"/>
    </row>
    <row r="25" spans="1:4" x14ac:dyDescent="0.25">
      <c r="A25" s="1"/>
      <c r="B25" s="1"/>
      <c r="C25" s="52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</row>
    <row r="32" spans="1:4" x14ac:dyDescent="0.25">
      <c r="A32" s="56"/>
      <c r="B32" s="56"/>
      <c r="C32" s="56"/>
    </row>
    <row r="33" spans="1:8" x14ac:dyDescent="0.25">
      <c r="A33" s="56"/>
      <c r="B33" s="56"/>
      <c r="C33" s="56"/>
      <c r="D33" s="56"/>
      <c r="E33" s="56"/>
      <c r="F33" s="56"/>
      <c r="G33" s="56"/>
      <c r="H33" s="56"/>
    </row>
    <row r="34" spans="1:8" x14ac:dyDescent="0.25">
      <c r="A34" s="1"/>
      <c r="B34" s="53"/>
      <c r="C34" s="1"/>
      <c r="D34" s="53"/>
      <c r="E34" s="57"/>
      <c r="F34" s="52"/>
      <c r="G34" s="53"/>
      <c r="H34" s="53"/>
    </row>
    <row r="35" spans="1:8" x14ac:dyDescent="0.25">
      <c r="A35" s="1"/>
      <c r="B35" s="53"/>
      <c r="C35" s="1"/>
      <c r="D35" s="53"/>
      <c r="E35" s="57"/>
    </row>
    <row r="36" spans="1:8" x14ac:dyDescent="0.25">
      <c r="A36" s="1"/>
      <c r="B36" s="53"/>
      <c r="C36" s="1"/>
      <c r="D36" s="53"/>
      <c r="E36" s="57"/>
    </row>
    <row r="37" spans="1:8" x14ac:dyDescent="0.25">
      <c r="A37" s="1"/>
      <c r="B37" s="53"/>
      <c r="C37" s="1"/>
      <c r="D37" s="53"/>
      <c r="E37" s="57"/>
    </row>
    <row r="38" spans="1:8" x14ac:dyDescent="0.25">
      <c r="A38" s="1"/>
      <c r="B38" s="53"/>
      <c r="C38" s="1"/>
      <c r="D38" s="53"/>
      <c r="E38" s="57"/>
    </row>
    <row r="39" spans="1:8" x14ac:dyDescent="0.25">
      <c r="A39" s="1"/>
      <c r="B39" s="53"/>
      <c r="C39" s="1"/>
      <c r="D39" s="53"/>
      <c r="E39" s="57"/>
    </row>
    <row r="40" spans="1:8" x14ac:dyDescent="0.25">
      <c r="A40" s="1"/>
      <c r="B40" s="53"/>
      <c r="C40" s="1"/>
      <c r="D40" s="53"/>
      <c r="E40" s="58"/>
    </row>
    <row r="41" spans="1:8" x14ac:dyDescent="0.25">
      <c r="A41" s="1"/>
      <c r="B41" s="53"/>
      <c r="C41" s="1"/>
      <c r="D41" s="1"/>
      <c r="E41" s="1"/>
    </row>
    <row r="42" spans="1:8" x14ac:dyDescent="0.25">
      <c r="A42" s="59"/>
      <c r="B42" s="60"/>
      <c r="C42" s="59"/>
      <c r="D42" s="60"/>
      <c r="E42" s="59"/>
      <c r="F42" s="59"/>
      <c r="G42" s="60"/>
      <c r="H42" s="59"/>
    </row>
    <row r="43" spans="1:8" x14ac:dyDescent="0.25">
      <c r="A43" s="52"/>
    </row>
    <row r="44" spans="1:8" x14ac:dyDescent="0.25">
      <c r="A44" s="52"/>
      <c r="B44" s="52"/>
    </row>
    <row r="45" spans="1:8" x14ac:dyDescent="0.25">
      <c r="A45" s="52"/>
      <c r="B45" s="52"/>
      <c r="C45" s="56"/>
    </row>
    <row r="46" spans="1:8" x14ac:dyDescent="0.25">
      <c r="A46" s="54"/>
    </row>
    <row r="47" spans="1:8" x14ac:dyDescent="0.25">
      <c r="A47" s="54"/>
    </row>
    <row r="48" spans="1:8" x14ac:dyDescent="0.25">
      <c r="A48" s="54"/>
    </row>
    <row r="49" spans="1:8" x14ac:dyDescent="0.25">
      <c r="A49" s="54"/>
    </row>
    <row r="50" spans="1:8" x14ac:dyDescent="0.25">
      <c r="A50" s="54"/>
    </row>
    <row r="51" spans="1:8" x14ac:dyDescent="0.25">
      <c r="A51" s="1"/>
      <c r="B51" s="1"/>
      <c r="C51" s="52"/>
    </row>
    <row r="52" spans="1:8" x14ac:dyDescent="0.25">
      <c r="A52" s="1"/>
      <c r="B52" s="1"/>
      <c r="C52" s="1"/>
      <c r="D52" s="1"/>
    </row>
    <row r="53" spans="1:8" x14ac:dyDescent="0.25">
      <c r="A53" s="1"/>
      <c r="B53" s="1"/>
      <c r="C53" s="1"/>
      <c r="D53" s="1"/>
    </row>
    <row r="54" spans="1:8" x14ac:dyDescent="0.25">
      <c r="A54" s="1"/>
      <c r="B54" s="1"/>
      <c r="C54" s="1"/>
      <c r="D54" s="1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</row>
    <row r="57" spans="1:8" x14ac:dyDescent="0.25">
      <c r="A57" s="56"/>
      <c r="B57" s="56"/>
      <c r="C57" s="56"/>
    </row>
    <row r="58" spans="1:8" x14ac:dyDescent="0.25">
      <c r="A58" s="56"/>
      <c r="B58" s="56"/>
      <c r="C58" s="56"/>
      <c r="D58" s="56"/>
      <c r="E58" s="56"/>
      <c r="F58" s="56"/>
      <c r="G58" s="56"/>
      <c r="H58" s="56"/>
    </row>
    <row r="59" spans="1:8" x14ac:dyDescent="0.25">
      <c r="A59" s="1"/>
      <c r="B59" s="53"/>
      <c r="C59" s="1"/>
      <c r="D59" s="53"/>
      <c r="E59" s="57"/>
      <c r="F59" s="52"/>
      <c r="G59" s="53"/>
      <c r="H59" s="53"/>
    </row>
    <row r="60" spans="1:8" x14ac:dyDescent="0.25">
      <c r="A60" s="1"/>
      <c r="B60" s="53"/>
      <c r="C60" s="1"/>
      <c r="D60" s="53"/>
      <c r="E60" s="57"/>
      <c r="F60" s="52"/>
      <c r="G60" s="53"/>
      <c r="H60" s="53"/>
    </row>
    <row r="61" spans="1:8" x14ac:dyDescent="0.25">
      <c r="A61" s="1"/>
      <c r="B61" s="53"/>
      <c r="C61" s="1"/>
      <c r="D61" s="53"/>
      <c r="E61" s="57"/>
      <c r="F61" s="1"/>
      <c r="G61" s="1"/>
      <c r="H61" s="1"/>
    </row>
    <row r="62" spans="1:8" x14ac:dyDescent="0.25">
      <c r="A62" s="1"/>
      <c r="B62" s="53"/>
      <c r="C62" s="1"/>
      <c r="D62" s="53"/>
      <c r="E62" s="57"/>
      <c r="F62" s="1"/>
      <c r="G62" s="1"/>
      <c r="H62" s="1"/>
    </row>
    <row r="63" spans="1:8" x14ac:dyDescent="0.25">
      <c r="A63" s="1"/>
      <c r="B63" s="53"/>
      <c r="C63" s="1"/>
      <c r="D63" s="53"/>
      <c r="E63" s="58"/>
      <c r="F63" s="1"/>
      <c r="G63" s="1"/>
      <c r="H63" s="1"/>
    </row>
    <row r="64" spans="1:8" x14ac:dyDescent="0.25">
      <c r="A64" s="1"/>
      <c r="B64" s="53"/>
      <c r="C64" s="1"/>
      <c r="D64" s="1"/>
      <c r="E64" s="1"/>
      <c r="F64" s="1"/>
      <c r="G64" s="1"/>
      <c r="H64" s="1"/>
    </row>
    <row r="65" spans="1:8" x14ac:dyDescent="0.25">
      <c r="A65" s="1"/>
      <c r="B65" s="53"/>
      <c r="C65" s="1"/>
      <c r="D65" s="1"/>
      <c r="E65" s="1"/>
      <c r="F65" s="1"/>
      <c r="G65" s="1"/>
      <c r="H65" s="1"/>
    </row>
    <row r="66" spans="1:8" x14ac:dyDescent="0.25">
      <c r="A66" s="1"/>
      <c r="B66" s="53"/>
      <c r="C66" s="1"/>
      <c r="D66" s="1"/>
      <c r="E66" s="1"/>
      <c r="F66" s="1"/>
      <c r="G66" s="1"/>
      <c r="H66" s="1"/>
    </row>
    <row r="67" spans="1:8" x14ac:dyDescent="0.25">
      <c r="A67" s="1"/>
      <c r="B67" s="53"/>
      <c r="C67" s="1"/>
      <c r="D67" s="1"/>
      <c r="E67" s="1"/>
      <c r="F67" s="1"/>
      <c r="G67" s="1"/>
      <c r="H67" s="1"/>
    </row>
    <row r="68" spans="1:8" x14ac:dyDescent="0.25">
      <c r="A68" s="1"/>
      <c r="B68" s="53"/>
      <c r="C68" s="1"/>
      <c r="D68" s="1"/>
      <c r="E68" s="1"/>
      <c r="F68" s="1"/>
      <c r="G68" s="1"/>
      <c r="H68" s="1"/>
    </row>
    <row r="69" spans="1:8" x14ac:dyDescent="0.25">
      <c r="A69" s="1"/>
      <c r="B69" s="53"/>
      <c r="C69" s="1"/>
      <c r="D69" s="1"/>
      <c r="E69" s="1"/>
      <c r="F69" s="1"/>
      <c r="G69" s="1"/>
      <c r="H69" s="1"/>
    </row>
    <row r="70" spans="1:8" x14ac:dyDescent="0.25">
      <c r="A70" s="59"/>
      <c r="B70" s="60"/>
      <c r="C70" s="59"/>
      <c r="D70" s="60"/>
      <c r="E70" s="59"/>
      <c r="F70" s="59"/>
      <c r="G70" s="60"/>
      <c r="H70" s="59"/>
    </row>
    <row r="71" spans="1:8" x14ac:dyDescent="0.25">
      <c r="A71" s="52"/>
    </row>
    <row r="72" spans="1:8" x14ac:dyDescent="0.25">
      <c r="A72" s="52"/>
      <c r="B72" s="52"/>
    </row>
    <row r="73" spans="1:8" x14ac:dyDescent="0.25">
      <c r="A73" s="52"/>
      <c r="B73" s="52"/>
      <c r="C73" s="56"/>
    </row>
    <row r="74" spans="1:8" x14ac:dyDescent="0.25">
      <c r="A74" s="54"/>
    </row>
    <row r="75" spans="1:8" x14ac:dyDescent="0.25">
      <c r="A75" s="54"/>
    </row>
    <row r="76" spans="1:8" x14ac:dyDescent="0.25">
      <c r="A76" s="54"/>
    </row>
    <row r="77" spans="1:8" x14ac:dyDescent="0.25">
      <c r="A77" s="54"/>
    </row>
    <row r="78" spans="1:8" x14ac:dyDescent="0.25">
      <c r="A78" s="54"/>
    </row>
    <row r="79" spans="1:8" x14ac:dyDescent="0.25">
      <c r="A79" s="1"/>
      <c r="B79" s="1"/>
      <c r="C79" s="52"/>
    </row>
    <row r="80" spans="1:8" x14ac:dyDescent="0.25">
      <c r="A80" s="1"/>
      <c r="B80" s="1"/>
      <c r="C80" s="1"/>
      <c r="D80" s="1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</row>
    <row r="85" spans="1:8" x14ac:dyDescent="0.25">
      <c r="A85" s="56"/>
      <c r="B85" s="56"/>
      <c r="C85" s="56"/>
    </row>
    <row r="86" spans="1:8" x14ac:dyDescent="0.25">
      <c r="A86" s="56"/>
      <c r="B86" s="56"/>
      <c r="C86" s="56"/>
      <c r="D86" s="56"/>
      <c r="E86" s="56"/>
      <c r="F86" s="56"/>
      <c r="G86" s="56"/>
      <c r="H86" s="56"/>
    </row>
    <row r="87" spans="1:8" x14ac:dyDescent="0.25">
      <c r="A87" s="1"/>
      <c r="B87" s="53"/>
      <c r="C87" s="1"/>
      <c r="D87" s="53"/>
      <c r="E87" s="57"/>
      <c r="F87" s="52"/>
      <c r="G87" s="53"/>
      <c r="H87" s="53"/>
    </row>
    <row r="88" spans="1:8" x14ac:dyDescent="0.25">
      <c r="A88" s="1"/>
      <c r="B88" s="53"/>
      <c r="C88" s="1"/>
      <c r="D88" s="53"/>
      <c r="E88" s="57"/>
      <c r="F88" s="52"/>
      <c r="G88" s="53"/>
      <c r="H88" s="53"/>
    </row>
    <row r="89" spans="1:8" x14ac:dyDescent="0.25">
      <c r="A89" s="1"/>
      <c r="B89" s="53"/>
      <c r="C89" s="1"/>
      <c r="D89" s="53"/>
      <c r="E89" s="57"/>
      <c r="F89" s="1"/>
      <c r="G89" s="1"/>
      <c r="H89" s="1"/>
    </row>
    <row r="90" spans="1:8" x14ac:dyDescent="0.25">
      <c r="A90" s="1"/>
      <c r="B90" s="53"/>
      <c r="C90" s="1"/>
      <c r="D90" s="53"/>
      <c r="E90" s="57"/>
      <c r="F90" s="1"/>
      <c r="G90" s="1"/>
      <c r="H90" s="1"/>
    </row>
    <row r="91" spans="1:8" x14ac:dyDescent="0.25">
      <c r="A91" s="1"/>
      <c r="B91" s="53"/>
      <c r="C91" s="1"/>
      <c r="D91" s="53"/>
      <c r="E91" s="57"/>
      <c r="F91" s="1"/>
      <c r="G91" s="1"/>
      <c r="H91" s="1"/>
    </row>
    <row r="92" spans="1:8" x14ac:dyDescent="0.25">
      <c r="A92" s="1"/>
      <c r="B92" s="53"/>
      <c r="C92" s="1"/>
      <c r="D92" s="53"/>
      <c r="E92" s="57"/>
      <c r="F92" s="1"/>
      <c r="G92" s="1"/>
      <c r="H92" s="1"/>
    </row>
    <row r="93" spans="1:8" x14ac:dyDescent="0.25">
      <c r="A93" s="1"/>
      <c r="B93" s="53"/>
      <c r="C93" s="1"/>
      <c r="D93" s="53"/>
      <c r="E93" s="58"/>
      <c r="F93" s="1"/>
      <c r="G93" s="1"/>
      <c r="H93" s="1"/>
    </row>
    <row r="94" spans="1:8" x14ac:dyDescent="0.25">
      <c r="A94" s="1"/>
      <c r="B94" s="53"/>
      <c r="C94" s="1"/>
      <c r="D94" s="1"/>
      <c r="E94" s="1"/>
      <c r="F94" s="1"/>
      <c r="G94" s="1"/>
      <c r="H94" s="1"/>
    </row>
    <row r="95" spans="1:8" x14ac:dyDescent="0.25">
      <c r="A95" s="1"/>
      <c r="B95" s="53"/>
      <c r="C95" s="1"/>
      <c r="D95" s="1"/>
      <c r="E95" s="1"/>
      <c r="F95" s="1"/>
      <c r="G95" s="1"/>
      <c r="H95" s="1"/>
    </row>
    <row r="96" spans="1:8" x14ac:dyDescent="0.25">
      <c r="A96" s="1"/>
      <c r="B96" s="53"/>
      <c r="C96" s="1"/>
      <c r="D96" s="1"/>
      <c r="E96" s="1"/>
      <c r="F96" s="1"/>
      <c r="G96" s="1"/>
      <c r="H96" s="1"/>
    </row>
    <row r="97" spans="1:8" x14ac:dyDescent="0.25">
      <c r="A97" s="1"/>
      <c r="B97" s="53"/>
      <c r="C97" s="1"/>
      <c r="D97" s="1"/>
      <c r="E97" s="1"/>
      <c r="F97" s="1"/>
      <c r="G97" s="1"/>
      <c r="H97" s="1"/>
    </row>
    <row r="98" spans="1:8" x14ac:dyDescent="0.25">
      <c r="A98" s="59"/>
      <c r="B98" s="60"/>
      <c r="C98" s="59"/>
      <c r="D98" s="60"/>
      <c r="E98" s="59"/>
      <c r="F98" s="59"/>
      <c r="G98" s="60"/>
      <c r="H98" s="59"/>
    </row>
    <row r="99" spans="1:8" x14ac:dyDescent="0.25">
      <c r="A99" s="52"/>
    </row>
    <row r="100" spans="1:8" x14ac:dyDescent="0.25">
      <c r="A100" s="52"/>
      <c r="B100" s="52"/>
    </row>
    <row r="101" spans="1:8" x14ac:dyDescent="0.25">
      <c r="A101" s="52"/>
      <c r="B101" s="52"/>
      <c r="C101" s="56"/>
    </row>
    <row r="102" spans="1:8" x14ac:dyDescent="0.25">
      <c r="A102" s="54"/>
    </row>
    <row r="103" spans="1:8" x14ac:dyDescent="0.25">
      <c r="A103" s="54"/>
    </row>
    <row r="104" spans="1:8" x14ac:dyDescent="0.25">
      <c r="A104" s="54"/>
    </row>
    <row r="105" spans="1:8" x14ac:dyDescent="0.25">
      <c r="A105" s="54"/>
    </row>
    <row r="106" spans="1:8" x14ac:dyDescent="0.25">
      <c r="A106" s="54"/>
    </row>
    <row r="107" spans="1:8" x14ac:dyDescent="0.25">
      <c r="A107" s="1"/>
      <c r="B107" s="1"/>
      <c r="C107" s="52"/>
    </row>
    <row r="108" spans="1:8" x14ac:dyDescent="0.25">
      <c r="A108" s="1"/>
      <c r="B108" s="1"/>
      <c r="C108" s="1"/>
      <c r="D108" s="1"/>
    </row>
    <row r="109" spans="1:8" x14ac:dyDescent="0.25">
      <c r="A109" s="1"/>
      <c r="B109" s="1"/>
      <c r="C109" s="1"/>
      <c r="D109" s="1"/>
    </row>
    <row r="110" spans="1:8" x14ac:dyDescent="0.25">
      <c r="A110" s="1"/>
      <c r="B110" s="1"/>
      <c r="C110" s="1"/>
      <c r="D110" s="1"/>
    </row>
    <row r="111" spans="1:8" x14ac:dyDescent="0.25">
      <c r="A111" s="1"/>
      <c r="B111" s="1"/>
      <c r="C111" s="1"/>
      <c r="D111" s="1"/>
    </row>
    <row r="112" spans="1:8" x14ac:dyDescent="0.25">
      <c r="A112" s="1"/>
      <c r="B112" s="1"/>
      <c r="C112" s="1"/>
    </row>
    <row r="113" spans="1:8" x14ac:dyDescent="0.25">
      <c r="A113" s="56"/>
      <c r="B113" s="56"/>
      <c r="C113" s="56"/>
    </row>
    <row r="114" spans="1:8" x14ac:dyDescent="0.25">
      <c r="A114" s="56"/>
      <c r="B114" s="56"/>
      <c r="C114" s="56"/>
      <c r="D114" s="56"/>
      <c r="E114" s="56"/>
      <c r="F114" s="56"/>
      <c r="G114" s="56"/>
      <c r="H114" s="56"/>
    </row>
    <row r="115" spans="1:8" x14ac:dyDescent="0.25">
      <c r="A115" s="1"/>
      <c r="B115" s="53"/>
      <c r="C115" s="1"/>
      <c r="D115" s="53"/>
      <c r="E115" s="57"/>
      <c r="F115" s="52"/>
      <c r="G115" s="53"/>
      <c r="H115" s="53"/>
    </row>
    <row r="116" spans="1:8" x14ac:dyDescent="0.25">
      <c r="A116" s="1"/>
      <c r="B116" s="53"/>
      <c r="C116" s="1"/>
      <c r="D116" s="53"/>
      <c r="E116" s="57"/>
      <c r="F116" s="52"/>
      <c r="G116" s="53"/>
      <c r="H116" s="53"/>
    </row>
    <row r="117" spans="1:8" x14ac:dyDescent="0.25">
      <c r="A117" s="1"/>
      <c r="B117" s="53"/>
      <c r="C117" s="1"/>
      <c r="D117" s="53"/>
      <c r="E117" s="57"/>
      <c r="F117" s="1"/>
      <c r="G117" s="1"/>
      <c r="H117" s="1"/>
    </row>
    <row r="118" spans="1:8" x14ac:dyDescent="0.25">
      <c r="A118" s="1"/>
      <c r="B118" s="53"/>
      <c r="C118" s="1"/>
      <c r="D118" s="53"/>
      <c r="E118" s="57"/>
      <c r="F118" s="1"/>
      <c r="G118" s="1"/>
      <c r="H118" s="1"/>
    </row>
    <row r="119" spans="1:8" x14ac:dyDescent="0.25">
      <c r="A119" s="1"/>
      <c r="B119" s="53"/>
      <c r="C119" s="1"/>
      <c r="D119" s="53"/>
      <c r="E119" s="57"/>
      <c r="F119" s="1"/>
      <c r="G119" s="1"/>
      <c r="H119" s="1"/>
    </row>
    <row r="120" spans="1:8" x14ac:dyDescent="0.25">
      <c r="A120" s="1"/>
      <c r="B120" s="53"/>
      <c r="C120" s="1"/>
      <c r="D120" s="53"/>
      <c r="E120" s="57"/>
      <c r="F120" s="1"/>
      <c r="G120" s="1"/>
      <c r="H120" s="1"/>
    </row>
    <row r="121" spans="1:8" x14ac:dyDescent="0.25">
      <c r="A121" s="1"/>
      <c r="B121" s="53"/>
      <c r="C121" s="1"/>
      <c r="D121" s="53"/>
      <c r="E121" s="58"/>
      <c r="F121" s="1"/>
      <c r="G121" s="1"/>
      <c r="H121" s="1"/>
    </row>
    <row r="122" spans="1:8" x14ac:dyDescent="0.25">
      <c r="A122" s="1"/>
      <c r="B122" s="53"/>
      <c r="C122" s="1"/>
      <c r="D122" s="1"/>
      <c r="E122" s="1"/>
      <c r="F122" s="1"/>
      <c r="G122" s="1"/>
      <c r="H122" s="1"/>
    </row>
    <row r="123" spans="1:8" x14ac:dyDescent="0.25">
      <c r="A123" s="1"/>
      <c r="B123" s="53"/>
      <c r="C123" s="1"/>
      <c r="D123" s="1"/>
      <c r="E123" s="1"/>
      <c r="F123" s="1"/>
      <c r="G123" s="1"/>
      <c r="H123" s="1"/>
    </row>
    <row r="124" spans="1:8" x14ac:dyDescent="0.25">
      <c r="A124" s="1"/>
      <c r="B124" s="53"/>
      <c r="C124" s="1"/>
      <c r="D124" s="1"/>
      <c r="E124" s="1"/>
      <c r="F124" s="1"/>
      <c r="G124" s="1"/>
      <c r="H124" s="1"/>
    </row>
    <row r="125" spans="1:8" x14ac:dyDescent="0.25">
      <c r="A125" s="1"/>
      <c r="B125" s="53"/>
      <c r="C125" s="1"/>
      <c r="D125" s="1"/>
      <c r="E125" s="1"/>
      <c r="F125" s="1"/>
      <c r="G125" s="1"/>
      <c r="H125" s="1"/>
    </row>
    <row r="126" spans="1:8" x14ac:dyDescent="0.25">
      <c r="A126" s="59"/>
      <c r="B126" s="60"/>
      <c r="C126" s="59"/>
      <c r="D126" s="60"/>
      <c r="E126" s="59"/>
      <c r="F126" s="59"/>
      <c r="G126" s="60"/>
      <c r="H126" s="59"/>
    </row>
    <row r="127" spans="1:8" x14ac:dyDescent="0.25">
      <c r="A127" s="52"/>
    </row>
    <row r="128" spans="1:8" x14ac:dyDescent="0.25">
      <c r="A128" s="52"/>
      <c r="B128" s="52"/>
    </row>
    <row r="129" spans="1:3" x14ac:dyDescent="0.25">
      <c r="A129" s="52"/>
      <c r="B129" s="52"/>
      <c r="C129" s="56"/>
    </row>
    <row r="130" spans="1:3" x14ac:dyDescent="0.25">
      <c r="A130" s="54"/>
    </row>
    <row r="131" spans="1:3" x14ac:dyDescent="0.25">
      <c r="A131" s="54"/>
    </row>
    <row r="132" spans="1:3" x14ac:dyDescent="0.25">
      <c r="A132" s="54"/>
      <c r="B132" s="5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55"/>
    </row>
    <row r="2" spans="1:8" x14ac:dyDescent="0.25">
      <c r="A2" s="1"/>
      <c r="B2" s="1"/>
      <c r="C2" s="52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6"/>
      <c r="B9" s="56"/>
      <c r="C9" s="56"/>
    </row>
    <row r="10" spans="1:8" x14ac:dyDescent="0.25">
      <c r="A10" s="56"/>
      <c r="B10" s="56"/>
      <c r="C10" s="56"/>
      <c r="D10" s="56"/>
      <c r="E10" s="56"/>
      <c r="F10" s="56"/>
      <c r="G10" s="56"/>
      <c r="H10" s="56"/>
    </row>
    <row r="11" spans="1:8" x14ac:dyDescent="0.25">
      <c r="A11" s="1"/>
      <c r="B11" s="53"/>
      <c r="C11" s="1"/>
      <c r="D11" s="53"/>
      <c r="E11" s="57"/>
      <c r="F11" s="52"/>
      <c r="G11" s="53"/>
      <c r="H11" s="53"/>
    </row>
    <row r="12" spans="1:8" x14ac:dyDescent="0.25">
      <c r="A12" s="1"/>
      <c r="B12" s="53"/>
      <c r="C12" s="1"/>
      <c r="D12" s="53"/>
      <c r="E12" s="57"/>
    </row>
    <row r="13" spans="1:8" x14ac:dyDescent="0.25">
      <c r="A13" s="1"/>
      <c r="B13" s="53"/>
      <c r="C13" s="1"/>
      <c r="D13" s="53"/>
      <c r="E13" s="57"/>
    </row>
    <row r="14" spans="1:8" x14ac:dyDescent="0.25">
      <c r="A14" s="1"/>
      <c r="B14" s="53"/>
      <c r="C14" s="1"/>
      <c r="D14" s="53"/>
      <c r="E14" s="57"/>
    </row>
    <row r="15" spans="1:8" x14ac:dyDescent="0.25">
      <c r="A15" s="1"/>
      <c r="B15" s="53"/>
      <c r="C15" s="1"/>
      <c r="D15" s="53"/>
      <c r="E15" s="58"/>
    </row>
    <row r="16" spans="1:8" x14ac:dyDescent="0.25">
      <c r="A16" s="59"/>
      <c r="B16" s="60"/>
      <c r="C16" s="59"/>
      <c r="D16" s="60"/>
      <c r="E16" s="59"/>
      <c r="F16" s="59"/>
      <c r="G16" s="60"/>
      <c r="H16" s="59"/>
    </row>
    <row r="17" spans="1:4" x14ac:dyDescent="0.25">
      <c r="A17" s="52"/>
    </row>
    <row r="18" spans="1:4" x14ac:dyDescent="0.25">
      <c r="A18" s="52"/>
      <c r="B18" s="52"/>
    </row>
    <row r="19" spans="1:4" x14ac:dyDescent="0.25">
      <c r="A19" s="52"/>
      <c r="B19" s="52"/>
      <c r="C19" s="56"/>
    </row>
    <row r="20" spans="1:4" x14ac:dyDescent="0.25">
      <c r="A20" s="54"/>
    </row>
    <row r="21" spans="1:4" x14ac:dyDescent="0.25">
      <c r="A21" s="54"/>
    </row>
    <row r="22" spans="1:4" x14ac:dyDescent="0.25">
      <c r="A22" s="54"/>
    </row>
    <row r="23" spans="1:4" x14ac:dyDescent="0.25">
      <c r="A23" s="54"/>
    </row>
    <row r="24" spans="1:4" x14ac:dyDescent="0.25">
      <c r="A24" s="54"/>
    </row>
    <row r="25" spans="1:4" x14ac:dyDescent="0.25">
      <c r="A25" s="1"/>
      <c r="B25" s="1"/>
      <c r="C25" s="52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</row>
    <row r="32" spans="1:4" x14ac:dyDescent="0.25">
      <c r="A32" s="56"/>
      <c r="B32" s="56"/>
      <c r="C32" s="56"/>
    </row>
    <row r="33" spans="1:8" x14ac:dyDescent="0.25">
      <c r="A33" s="56"/>
      <c r="B33" s="56"/>
      <c r="C33" s="56"/>
      <c r="D33" s="56"/>
      <c r="E33" s="56"/>
      <c r="F33" s="56"/>
      <c r="G33" s="56"/>
      <c r="H33" s="56"/>
    </row>
    <row r="34" spans="1:8" x14ac:dyDescent="0.25">
      <c r="A34" s="1"/>
      <c r="B34" s="53"/>
      <c r="C34" s="1"/>
      <c r="D34" s="53"/>
      <c r="E34" s="57"/>
      <c r="F34" s="52"/>
      <c r="G34" s="53"/>
      <c r="H34" s="53"/>
    </row>
    <row r="35" spans="1:8" x14ac:dyDescent="0.25">
      <c r="A35" s="1"/>
      <c r="B35" s="53"/>
      <c r="C35" s="1"/>
      <c r="D35" s="53"/>
      <c r="E35" s="57"/>
    </row>
    <row r="36" spans="1:8" x14ac:dyDescent="0.25">
      <c r="A36" s="1"/>
      <c r="B36" s="53"/>
      <c r="C36" s="1"/>
      <c r="D36" s="53"/>
      <c r="E36" s="57"/>
    </row>
    <row r="37" spans="1:8" x14ac:dyDescent="0.25">
      <c r="A37" s="1"/>
      <c r="B37" s="53"/>
      <c r="C37" s="1"/>
      <c r="D37" s="53"/>
      <c r="E37" s="57"/>
    </row>
    <row r="38" spans="1:8" x14ac:dyDescent="0.25">
      <c r="A38" s="1"/>
      <c r="B38" s="53"/>
      <c r="C38" s="1"/>
      <c r="D38" s="53"/>
      <c r="E38" s="57"/>
    </row>
    <row r="39" spans="1:8" x14ac:dyDescent="0.25">
      <c r="A39" s="1"/>
      <c r="B39" s="53"/>
      <c r="C39" s="1"/>
      <c r="D39" s="53"/>
      <c r="E39" s="57"/>
    </row>
    <row r="40" spans="1:8" x14ac:dyDescent="0.25">
      <c r="A40" s="1"/>
      <c r="B40" s="53"/>
      <c r="C40" s="1"/>
      <c r="D40" s="53"/>
      <c r="E40" s="58"/>
    </row>
    <row r="41" spans="1:8" x14ac:dyDescent="0.25">
      <c r="A41" s="1"/>
      <c r="B41" s="53"/>
      <c r="C41" s="1"/>
      <c r="D41" s="1"/>
      <c r="E41" s="1"/>
    </row>
    <row r="42" spans="1:8" x14ac:dyDescent="0.25">
      <c r="A42" s="59"/>
      <c r="B42" s="60"/>
      <c r="C42" s="59"/>
      <c r="D42" s="60"/>
      <c r="E42" s="59"/>
      <c r="F42" s="59"/>
      <c r="G42" s="60"/>
      <c r="H42" s="59"/>
    </row>
    <row r="43" spans="1:8" x14ac:dyDescent="0.25">
      <c r="A43" s="52"/>
    </row>
    <row r="44" spans="1:8" x14ac:dyDescent="0.25">
      <c r="A44" s="52"/>
      <c r="B44" s="52"/>
    </row>
    <row r="45" spans="1:8" x14ac:dyDescent="0.25">
      <c r="A45" s="52"/>
      <c r="B45" s="52"/>
      <c r="C45" s="56"/>
    </row>
    <row r="46" spans="1:8" x14ac:dyDescent="0.25">
      <c r="A46" s="54"/>
    </row>
    <row r="47" spans="1:8" x14ac:dyDescent="0.25">
      <c r="A47" s="54"/>
    </row>
    <row r="48" spans="1:8" x14ac:dyDescent="0.25">
      <c r="A48" s="54"/>
    </row>
    <row r="49" spans="1:8" x14ac:dyDescent="0.25">
      <c r="A49" s="54"/>
    </row>
    <row r="50" spans="1:8" x14ac:dyDescent="0.25">
      <c r="A50" s="54"/>
    </row>
    <row r="51" spans="1:8" x14ac:dyDescent="0.25">
      <c r="A51" s="1"/>
      <c r="B51" s="1"/>
      <c r="C51" s="52"/>
    </row>
    <row r="52" spans="1:8" x14ac:dyDescent="0.25">
      <c r="A52" s="1"/>
      <c r="B52" s="1"/>
      <c r="C52" s="1"/>
      <c r="D52" s="1"/>
    </row>
    <row r="53" spans="1:8" x14ac:dyDescent="0.25">
      <c r="A53" s="1"/>
      <c r="B53" s="1"/>
      <c r="C53" s="1"/>
      <c r="D53" s="1"/>
    </row>
    <row r="54" spans="1:8" x14ac:dyDescent="0.25">
      <c r="A54" s="1"/>
      <c r="B54" s="1"/>
      <c r="C54" s="1"/>
      <c r="D54" s="1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</row>
    <row r="57" spans="1:8" x14ac:dyDescent="0.25">
      <c r="A57" s="56"/>
      <c r="B57" s="56"/>
      <c r="C57" s="56"/>
    </row>
    <row r="58" spans="1:8" x14ac:dyDescent="0.25">
      <c r="A58" s="56"/>
      <c r="B58" s="56"/>
      <c r="C58" s="56"/>
      <c r="D58" s="56"/>
      <c r="E58" s="56"/>
      <c r="F58" s="56"/>
      <c r="G58" s="56"/>
      <c r="H58" s="56"/>
    </row>
    <row r="59" spans="1:8" x14ac:dyDescent="0.25">
      <c r="A59" s="1"/>
      <c r="B59" s="53"/>
      <c r="C59" s="1"/>
      <c r="D59" s="53"/>
      <c r="E59" s="57"/>
      <c r="F59" s="52"/>
      <c r="G59" s="53"/>
      <c r="H59" s="53"/>
    </row>
    <row r="60" spans="1:8" x14ac:dyDescent="0.25">
      <c r="A60" s="1"/>
      <c r="B60" s="53"/>
      <c r="C60" s="1"/>
      <c r="D60" s="53"/>
      <c r="E60" s="57"/>
      <c r="F60" s="52"/>
      <c r="G60" s="53"/>
      <c r="H60" s="53"/>
    </row>
    <row r="61" spans="1:8" x14ac:dyDescent="0.25">
      <c r="A61" s="1"/>
      <c r="B61" s="53"/>
      <c r="C61" s="1"/>
      <c r="D61" s="53"/>
      <c r="E61" s="57"/>
      <c r="F61" s="1"/>
      <c r="G61" s="1"/>
      <c r="H61" s="1"/>
    </row>
    <row r="62" spans="1:8" x14ac:dyDescent="0.25">
      <c r="A62" s="1"/>
      <c r="B62" s="53"/>
      <c r="C62" s="1"/>
      <c r="D62" s="53"/>
      <c r="E62" s="57"/>
      <c r="F62" s="1"/>
      <c r="G62" s="1"/>
      <c r="H62" s="1"/>
    </row>
    <row r="63" spans="1:8" x14ac:dyDescent="0.25">
      <c r="A63" s="1"/>
      <c r="B63" s="53"/>
      <c r="C63" s="1"/>
      <c r="D63" s="53"/>
      <c r="E63" s="58"/>
      <c r="F63" s="1"/>
      <c r="G63" s="1"/>
      <c r="H63" s="1"/>
    </row>
    <row r="64" spans="1:8" x14ac:dyDescent="0.25">
      <c r="A64" s="1"/>
      <c r="B64" s="53"/>
      <c r="C64" s="1"/>
      <c r="D64" s="1"/>
      <c r="E64" s="1"/>
      <c r="F64" s="1"/>
      <c r="G64" s="1"/>
      <c r="H64" s="1"/>
    </row>
    <row r="65" spans="1:8" x14ac:dyDescent="0.25">
      <c r="A65" s="1"/>
      <c r="B65" s="53"/>
      <c r="C65" s="1"/>
      <c r="D65" s="1"/>
      <c r="E65" s="1"/>
      <c r="F65" s="1"/>
      <c r="G65" s="1"/>
      <c r="H65" s="1"/>
    </row>
    <row r="66" spans="1:8" x14ac:dyDescent="0.25">
      <c r="A66" s="1"/>
      <c r="B66" s="53"/>
      <c r="C66" s="1"/>
      <c r="D66" s="1"/>
      <c r="E66" s="1"/>
      <c r="F66" s="1"/>
      <c r="G66" s="1"/>
      <c r="H66" s="1"/>
    </row>
    <row r="67" spans="1:8" x14ac:dyDescent="0.25">
      <c r="A67" s="1"/>
      <c r="B67" s="53"/>
      <c r="C67" s="1"/>
      <c r="D67" s="1"/>
      <c r="E67" s="1"/>
      <c r="F67" s="1"/>
      <c r="G67" s="1"/>
      <c r="H67" s="1"/>
    </row>
    <row r="68" spans="1:8" x14ac:dyDescent="0.25">
      <c r="A68" s="1"/>
      <c r="B68" s="53"/>
      <c r="C68" s="1"/>
      <c r="D68" s="1"/>
      <c r="E68" s="1"/>
      <c r="F68" s="1"/>
      <c r="G68" s="1"/>
      <c r="H68" s="1"/>
    </row>
    <row r="69" spans="1:8" x14ac:dyDescent="0.25">
      <c r="A69" s="1"/>
      <c r="B69" s="53"/>
      <c r="C69" s="1"/>
      <c r="D69" s="1"/>
      <c r="E69" s="1"/>
      <c r="F69" s="1"/>
      <c r="G69" s="1"/>
      <c r="H69" s="1"/>
    </row>
    <row r="70" spans="1:8" x14ac:dyDescent="0.25">
      <c r="A70" s="59"/>
      <c r="B70" s="60"/>
      <c r="C70" s="59"/>
      <c r="D70" s="60"/>
      <c r="E70" s="59"/>
      <c r="F70" s="59"/>
      <c r="G70" s="60"/>
      <c r="H70" s="59"/>
    </row>
    <row r="71" spans="1:8" x14ac:dyDescent="0.25">
      <c r="A71" s="52"/>
    </row>
    <row r="72" spans="1:8" x14ac:dyDescent="0.25">
      <c r="A72" s="52"/>
      <c r="B72" s="52"/>
    </row>
    <row r="73" spans="1:8" x14ac:dyDescent="0.25">
      <c r="A73" s="52"/>
      <c r="B73" s="52"/>
      <c r="C73" s="56"/>
    </row>
    <row r="74" spans="1:8" x14ac:dyDescent="0.25">
      <c r="A74" s="54"/>
    </row>
    <row r="75" spans="1:8" x14ac:dyDescent="0.25">
      <c r="A75" s="54"/>
    </row>
    <row r="76" spans="1:8" x14ac:dyDescent="0.25">
      <c r="A76" s="54"/>
    </row>
    <row r="77" spans="1:8" x14ac:dyDescent="0.25">
      <c r="A77" s="54"/>
    </row>
    <row r="78" spans="1:8" x14ac:dyDescent="0.25">
      <c r="A78" s="54"/>
    </row>
    <row r="79" spans="1:8" x14ac:dyDescent="0.25">
      <c r="A79" s="1"/>
      <c r="B79" s="1"/>
      <c r="C79" s="52"/>
    </row>
    <row r="80" spans="1:8" x14ac:dyDescent="0.25">
      <c r="A80" s="1"/>
      <c r="B80" s="1"/>
      <c r="C80" s="1"/>
      <c r="D80" s="1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</row>
    <row r="85" spans="1:8" x14ac:dyDescent="0.25">
      <c r="A85" s="56"/>
      <c r="B85" s="56"/>
      <c r="C85" s="56"/>
    </row>
    <row r="86" spans="1:8" x14ac:dyDescent="0.25">
      <c r="A86" s="56"/>
      <c r="B86" s="56"/>
      <c r="C86" s="56"/>
      <c r="D86" s="56"/>
      <c r="E86" s="56"/>
      <c r="F86" s="56"/>
      <c r="G86" s="56"/>
      <c r="H86" s="56"/>
    </row>
    <row r="87" spans="1:8" x14ac:dyDescent="0.25">
      <c r="A87" s="1"/>
      <c r="B87" s="53"/>
      <c r="C87" s="1"/>
      <c r="D87" s="53"/>
      <c r="E87" s="57"/>
      <c r="F87" s="52"/>
      <c r="G87" s="53"/>
      <c r="H87" s="53"/>
    </row>
    <row r="88" spans="1:8" x14ac:dyDescent="0.25">
      <c r="A88" s="1"/>
      <c r="B88" s="53"/>
      <c r="C88" s="1"/>
      <c r="D88" s="53"/>
      <c r="E88" s="57"/>
      <c r="F88" s="52"/>
      <c r="G88" s="53"/>
      <c r="H88" s="53"/>
    </row>
    <row r="89" spans="1:8" x14ac:dyDescent="0.25">
      <c r="A89" s="1"/>
      <c r="B89" s="53"/>
      <c r="C89" s="1"/>
      <c r="D89" s="53"/>
      <c r="E89" s="57"/>
      <c r="F89" s="1"/>
      <c r="G89" s="1"/>
      <c r="H89" s="1"/>
    </row>
    <row r="90" spans="1:8" x14ac:dyDescent="0.25">
      <c r="A90" s="1"/>
      <c r="B90" s="53"/>
      <c r="C90" s="1"/>
      <c r="D90" s="53"/>
      <c r="E90" s="57"/>
      <c r="F90" s="1"/>
      <c r="G90" s="1"/>
      <c r="H90" s="1"/>
    </row>
    <row r="91" spans="1:8" x14ac:dyDescent="0.25">
      <c r="A91" s="1"/>
      <c r="B91" s="53"/>
      <c r="C91" s="1"/>
      <c r="D91" s="53"/>
      <c r="E91" s="57"/>
      <c r="F91" s="1"/>
      <c r="G91" s="1"/>
      <c r="H91" s="1"/>
    </row>
    <row r="92" spans="1:8" x14ac:dyDescent="0.25">
      <c r="A92" s="1"/>
      <c r="B92" s="53"/>
      <c r="C92" s="1"/>
      <c r="D92" s="53"/>
      <c r="E92" s="57"/>
      <c r="F92" s="1"/>
      <c r="G92" s="1"/>
      <c r="H92" s="1"/>
    </row>
    <row r="93" spans="1:8" x14ac:dyDescent="0.25">
      <c r="A93" s="1"/>
      <c r="B93" s="53"/>
      <c r="C93" s="1"/>
      <c r="D93" s="53"/>
      <c r="E93" s="58"/>
      <c r="F93" s="1"/>
      <c r="G93" s="1"/>
      <c r="H93" s="1"/>
    </row>
    <row r="94" spans="1:8" x14ac:dyDescent="0.25">
      <c r="A94" s="1"/>
      <c r="B94" s="53"/>
      <c r="C94" s="1"/>
      <c r="D94" s="1"/>
      <c r="E94" s="1"/>
      <c r="F94" s="1"/>
      <c r="G94" s="1"/>
      <c r="H94" s="1"/>
    </row>
    <row r="95" spans="1:8" x14ac:dyDescent="0.25">
      <c r="A95" s="1"/>
      <c r="B95" s="53"/>
      <c r="C95" s="1"/>
      <c r="D95" s="1"/>
      <c r="E95" s="1"/>
      <c r="F95" s="1"/>
      <c r="G95" s="1"/>
      <c r="H95" s="1"/>
    </row>
    <row r="96" spans="1:8" x14ac:dyDescent="0.25">
      <c r="A96" s="1"/>
      <c r="B96" s="53"/>
      <c r="C96" s="1"/>
      <c r="D96" s="1"/>
      <c r="E96" s="1"/>
      <c r="F96" s="1"/>
      <c r="G96" s="1"/>
      <c r="H96" s="1"/>
    </row>
    <row r="97" spans="1:8" x14ac:dyDescent="0.25">
      <c r="A97" s="1"/>
      <c r="B97" s="53"/>
      <c r="C97" s="1"/>
      <c r="D97" s="1"/>
      <c r="E97" s="1"/>
      <c r="F97" s="1"/>
      <c r="G97" s="1"/>
      <c r="H97" s="1"/>
    </row>
    <row r="98" spans="1:8" x14ac:dyDescent="0.25">
      <c r="A98" s="59"/>
      <c r="B98" s="60"/>
      <c r="C98" s="59"/>
      <c r="D98" s="60"/>
      <c r="E98" s="59"/>
      <c r="F98" s="59"/>
      <c r="G98" s="60"/>
      <c r="H98" s="59"/>
    </row>
    <row r="99" spans="1:8" x14ac:dyDescent="0.25">
      <c r="A99" s="52"/>
    </row>
    <row r="100" spans="1:8" x14ac:dyDescent="0.25">
      <c r="A100" s="52"/>
      <c r="B100" s="52"/>
    </row>
    <row r="101" spans="1:8" x14ac:dyDescent="0.25">
      <c r="A101" s="52"/>
      <c r="B101" s="52"/>
      <c r="C101" s="56"/>
    </row>
    <row r="102" spans="1:8" x14ac:dyDescent="0.25">
      <c r="A102" s="54"/>
    </row>
    <row r="103" spans="1:8" x14ac:dyDescent="0.25">
      <c r="A103" s="54"/>
    </row>
    <row r="104" spans="1:8" x14ac:dyDescent="0.25">
      <c r="A104" s="54"/>
    </row>
    <row r="105" spans="1:8" x14ac:dyDescent="0.25">
      <c r="A105" s="54"/>
    </row>
    <row r="106" spans="1:8" x14ac:dyDescent="0.25">
      <c r="A106" s="54"/>
    </row>
    <row r="107" spans="1:8" x14ac:dyDescent="0.25">
      <c r="A107" s="1"/>
      <c r="B107" s="1"/>
      <c r="C107" s="52"/>
    </row>
    <row r="108" spans="1:8" x14ac:dyDescent="0.25">
      <c r="A108" s="1"/>
      <c r="B108" s="1"/>
      <c r="C108" s="1"/>
      <c r="D108" s="1"/>
    </row>
    <row r="109" spans="1:8" x14ac:dyDescent="0.25">
      <c r="A109" s="1"/>
      <c r="B109" s="1"/>
      <c r="C109" s="1"/>
      <c r="D109" s="1"/>
    </row>
    <row r="110" spans="1:8" x14ac:dyDescent="0.25">
      <c r="A110" s="1"/>
      <c r="B110" s="1"/>
      <c r="C110" s="1"/>
      <c r="D110" s="1"/>
    </row>
    <row r="111" spans="1:8" x14ac:dyDescent="0.25">
      <c r="A111" s="1"/>
      <c r="B111" s="1"/>
      <c r="C111" s="1"/>
      <c r="D111" s="1"/>
    </row>
    <row r="112" spans="1:8" x14ac:dyDescent="0.25">
      <c r="A112" s="1"/>
      <c r="B112" s="1"/>
      <c r="C112" s="1"/>
    </row>
    <row r="113" spans="1:8" x14ac:dyDescent="0.25">
      <c r="A113" s="56"/>
      <c r="B113" s="56"/>
      <c r="C113" s="56"/>
    </row>
    <row r="114" spans="1:8" x14ac:dyDescent="0.25">
      <c r="A114" s="56"/>
      <c r="B114" s="56"/>
      <c r="C114" s="56"/>
      <c r="D114" s="56"/>
      <c r="E114" s="56"/>
      <c r="F114" s="56"/>
      <c r="G114" s="56"/>
      <c r="H114" s="56"/>
    </row>
    <row r="115" spans="1:8" x14ac:dyDescent="0.25">
      <c r="A115" s="1"/>
      <c r="B115" s="53"/>
      <c r="C115" s="1"/>
      <c r="D115" s="53"/>
      <c r="E115" s="57"/>
      <c r="F115" s="52"/>
      <c r="G115" s="53"/>
      <c r="H115" s="53"/>
    </row>
    <row r="116" spans="1:8" x14ac:dyDescent="0.25">
      <c r="A116" s="1"/>
      <c r="B116" s="53"/>
      <c r="C116" s="1"/>
      <c r="D116" s="53"/>
      <c r="E116" s="57"/>
      <c r="F116" s="52"/>
      <c r="G116" s="53"/>
      <c r="H116" s="53"/>
    </row>
    <row r="117" spans="1:8" x14ac:dyDescent="0.25">
      <c r="A117" s="1"/>
      <c r="B117" s="53"/>
      <c r="C117" s="1"/>
      <c r="D117" s="53"/>
      <c r="E117" s="57"/>
      <c r="F117" s="1"/>
      <c r="G117" s="1"/>
      <c r="H117" s="1"/>
    </row>
    <row r="118" spans="1:8" x14ac:dyDescent="0.25">
      <c r="A118" s="1"/>
      <c r="B118" s="53"/>
      <c r="C118" s="1"/>
      <c r="D118" s="53"/>
      <c r="E118" s="57"/>
      <c r="F118" s="1"/>
      <c r="G118" s="1"/>
      <c r="H118" s="1"/>
    </row>
    <row r="119" spans="1:8" x14ac:dyDescent="0.25">
      <c r="A119" s="1"/>
      <c r="B119" s="53"/>
      <c r="C119" s="1"/>
      <c r="D119" s="53"/>
      <c r="E119" s="57"/>
      <c r="F119" s="1"/>
      <c r="G119" s="1"/>
      <c r="H119" s="1"/>
    </row>
    <row r="120" spans="1:8" x14ac:dyDescent="0.25">
      <c r="A120" s="1"/>
      <c r="B120" s="53"/>
      <c r="C120" s="1"/>
      <c r="D120" s="53"/>
      <c r="E120" s="57"/>
      <c r="F120" s="1"/>
      <c r="G120" s="1"/>
      <c r="H120" s="1"/>
    </row>
    <row r="121" spans="1:8" x14ac:dyDescent="0.25">
      <c r="A121" s="1"/>
      <c r="B121" s="53"/>
      <c r="C121" s="1"/>
      <c r="D121" s="53"/>
      <c r="E121" s="58"/>
      <c r="F121" s="1"/>
      <c r="G121" s="1"/>
      <c r="H121" s="1"/>
    </row>
    <row r="122" spans="1:8" x14ac:dyDescent="0.25">
      <c r="A122" s="1"/>
      <c r="B122" s="53"/>
      <c r="C122" s="1"/>
      <c r="D122" s="1"/>
      <c r="E122" s="1"/>
      <c r="F122" s="1"/>
      <c r="G122" s="1"/>
      <c r="H122" s="1"/>
    </row>
    <row r="123" spans="1:8" x14ac:dyDescent="0.25">
      <c r="A123" s="1"/>
      <c r="B123" s="53"/>
      <c r="C123" s="1"/>
      <c r="D123" s="1"/>
      <c r="E123" s="1"/>
      <c r="F123" s="1"/>
      <c r="G123" s="1"/>
      <c r="H123" s="1"/>
    </row>
    <row r="124" spans="1:8" x14ac:dyDescent="0.25">
      <c r="A124" s="1"/>
      <c r="B124" s="53"/>
      <c r="C124" s="1"/>
      <c r="D124" s="1"/>
      <c r="E124" s="1"/>
      <c r="F124" s="1"/>
      <c r="G124" s="1"/>
      <c r="H124" s="1"/>
    </row>
    <row r="125" spans="1:8" x14ac:dyDescent="0.25">
      <c r="A125" s="1"/>
      <c r="B125" s="53"/>
      <c r="C125" s="1"/>
      <c r="D125" s="1"/>
      <c r="E125" s="1"/>
      <c r="F125" s="1"/>
      <c r="G125" s="1"/>
      <c r="H125" s="1"/>
    </row>
    <row r="126" spans="1:8" x14ac:dyDescent="0.25">
      <c r="A126" s="59"/>
      <c r="B126" s="60"/>
      <c r="C126" s="59"/>
      <c r="D126" s="60"/>
      <c r="E126" s="59"/>
      <c r="F126" s="59"/>
      <c r="G126" s="60"/>
      <c r="H126" s="59"/>
    </row>
    <row r="127" spans="1:8" x14ac:dyDescent="0.25">
      <c r="A127" s="52"/>
    </row>
    <row r="128" spans="1:8" x14ac:dyDescent="0.25">
      <c r="A128" s="52"/>
      <c r="B128" s="52"/>
    </row>
    <row r="129" spans="1:3" x14ac:dyDescent="0.25">
      <c r="A129" s="52"/>
      <c r="B129" s="52"/>
      <c r="C129" s="56"/>
    </row>
    <row r="130" spans="1:3" x14ac:dyDescent="0.25">
      <c r="A130" s="54"/>
    </row>
    <row r="131" spans="1:3" x14ac:dyDescent="0.25">
      <c r="A131" s="54"/>
    </row>
    <row r="132" spans="1:3" x14ac:dyDescent="0.25">
      <c r="A132" s="54"/>
      <c r="B132" s="5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/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55"/>
    </row>
    <row r="2" spans="1:8" x14ac:dyDescent="0.25">
      <c r="A2" s="1"/>
      <c r="B2" s="1"/>
      <c r="C2" s="52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6"/>
      <c r="B9" s="56"/>
      <c r="C9" s="56"/>
    </row>
    <row r="10" spans="1:8" x14ac:dyDescent="0.25">
      <c r="A10" s="56"/>
      <c r="B10" s="56"/>
      <c r="C10" s="56"/>
      <c r="D10" s="56"/>
      <c r="E10" s="56"/>
      <c r="F10" s="56"/>
      <c r="G10" s="56"/>
      <c r="H10" s="56"/>
    </row>
    <row r="11" spans="1:8" x14ac:dyDescent="0.25">
      <c r="A11" s="1"/>
      <c r="B11" s="53"/>
      <c r="C11" s="1"/>
      <c r="D11" s="53"/>
      <c r="E11" s="57"/>
      <c r="F11" s="52"/>
      <c r="G11" s="53"/>
      <c r="H11" s="53"/>
    </row>
    <row r="12" spans="1:8" x14ac:dyDescent="0.25">
      <c r="A12" s="1"/>
      <c r="B12" s="53"/>
      <c r="C12" s="1"/>
      <c r="D12" s="53"/>
      <c r="E12" s="57"/>
      <c r="F12" s="52"/>
      <c r="G12" s="53"/>
      <c r="H12" s="53"/>
    </row>
    <row r="13" spans="1:8" x14ac:dyDescent="0.25">
      <c r="A13" s="1"/>
      <c r="B13" s="53"/>
      <c r="C13" s="1"/>
      <c r="D13" s="53"/>
      <c r="E13" s="57"/>
      <c r="F13" s="1"/>
      <c r="G13" s="1"/>
      <c r="H13" s="1"/>
    </row>
    <row r="14" spans="1:8" x14ac:dyDescent="0.25">
      <c r="A14" s="1"/>
      <c r="B14" s="53"/>
      <c r="C14" s="1"/>
      <c r="D14" s="53"/>
      <c r="E14" s="57"/>
      <c r="F14" s="1"/>
      <c r="G14" s="1"/>
      <c r="H14" s="1"/>
    </row>
    <row r="15" spans="1:8" x14ac:dyDescent="0.25">
      <c r="A15" s="1"/>
      <c r="B15" s="53"/>
      <c r="C15" s="1"/>
      <c r="D15" s="53"/>
      <c r="E15" s="57"/>
      <c r="F15" s="1"/>
      <c r="G15" s="1"/>
      <c r="H15" s="1"/>
    </row>
    <row r="16" spans="1:8" x14ac:dyDescent="0.25">
      <c r="A16" s="1"/>
      <c r="B16" s="53"/>
      <c r="C16" s="1"/>
      <c r="D16" s="53"/>
      <c r="E16" s="57"/>
      <c r="F16" s="1"/>
      <c r="G16" s="1"/>
      <c r="H16" s="1"/>
    </row>
    <row r="17" spans="1:8" x14ac:dyDescent="0.25">
      <c r="A17" s="1"/>
      <c r="B17" s="53"/>
      <c r="C17" s="1"/>
      <c r="D17" s="53"/>
      <c r="E17" s="58"/>
      <c r="F17" s="1"/>
      <c r="G17" s="1"/>
      <c r="H17" s="1"/>
    </row>
    <row r="18" spans="1:8" x14ac:dyDescent="0.25">
      <c r="A18" s="1"/>
      <c r="B18" s="53"/>
      <c r="C18" s="1"/>
      <c r="D18" s="1"/>
      <c r="E18" s="1"/>
      <c r="F18" s="1"/>
      <c r="G18" s="1"/>
      <c r="H18" s="1"/>
    </row>
    <row r="19" spans="1:8" x14ac:dyDescent="0.25">
      <c r="A19" s="1"/>
      <c r="B19" s="53"/>
      <c r="C19" s="1"/>
      <c r="D19" s="1"/>
      <c r="E19" s="1"/>
      <c r="F19" s="1"/>
      <c r="G19" s="1"/>
      <c r="H19" s="1"/>
    </row>
    <row r="20" spans="1:8" x14ac:dyDescent="0.25">
      <c r="A20" s="1"/>
      <c r="B20" s="53"/>
      <c r="C20" s="1"/>
      <c r="D20" s="1"/>
      <c r="E20" s="1"/>
      <c r="F20" s="1"/>
      <c r="G20" s="1"/>
      <c r="H20" s="1"/>
    </row>
    <row r="21" spans="1:8" x14ac:dyDescent="0.25">
      <c r="A21" s="59"/>
      <c r="B21" s="60"/>
      <c r="C21" s="59"/>
      <c r="D21" s="60"/>
      <c r="E21" s="59"/>
      <c r="F21" s="59"/>
      <c r="G21" s="60"/>
      <c r="H21" s="59"/>
    </row>
    <row r="22" spans="1:8" x14ac:dyDescent="0.25">
      <c r="A22" s="52"/>
    </row>
    <row r="23" spans="1:8" x14ac:dyDescent="0.25">
      <c r="A23" s="52"/>
      <c r="B23" s="52"/>
    </row>
    <row r="24" spans="1:8" x14ac:dyDescent="0.25">
      <c r="A24" s="52"/>
      <c r="B24" s="52"/>
      <c r="C24" s="56"/>
    </row>
    <row r="25" spans="1:8" x14ac:dyDescent="0.25">
      <c r="A25" s="54"/>
    </row>
    <row r="26" spans="1:8" x14ac:dyDescent="0.25">
      <c r="A26" s="54"/>
    </row>
    <row r="27" spans="1:8" x14ac:dyDescent="0.25">
      <c r="A27" s="54"/>
    </row>
    <row r="28" spans="1:8" x14ac:dyDescent="0.25">
      <c r="A28" s="54"/>
    </row>
    <row r="29" spans="1:8" x14ac:dyDescent="0.25">
      <c r="A29" s="54"/>
    </row>
    <row r="30" spans="1:8" x14ac:dyDescent="0.25">
      <c r="A30" s="1"/>
      <c r="B30" s="1"/>
      <c r="C30" s="52"/>
    </row>
    <row r="31" spans="1:8" x14ac:dyDescent="0.25">
      <c r="A31" s="1"/>
      <c r="B31" s="1"/>
      <c r="C31" s="1"/>
      <c r="D31" s="1"/>
    </row>
    <row r="32" spans="1:8" x14ac:dyDescent="0.25">
      <c r="A32" s="1"/>
      <c r="B32" s="1"/>
      <c r="C32" s="1"/>
      <c r="D32" s="1"/>
    </row>
    <row r="33" spans="1:8" x14ac:dyDescent="0.25">
      <c r="A33" s="1"/>
      <c r="B33" s="1"/>
      <c r="C33" s="1"/>
      <c r="D33" s="1"/>
    </row>
    <row r="34" spans="1:8" x14ac:dyDescent="0.25">
      <c r="A34" s="1"/>
      <c r="B34" s="1"/>
      <c r="C34" s="1"/>
      <c r="D34" s="1"/>
    </row>
    <row r="35" spans="1:8" x14ac:dyDescent="0.25">
      <c r="A35" s="1"/>
      <c r="B35" s="1"/>
      <c r="C35" s="1"/>
    </row>
    <row r="37" spans="1:8" x14ac:dyDescent="0.25">
      <c r="A37" s="56"/>
      <c r="B37" s="56"/>
      <c r="C37" s="56"/>
    </row>
    <row r="38" spans="1:8" x14ac:dyDescent="0.25">
      <c r="A38" s="56"/>
      <c r="B38" s="56"/>
      <c r="C38" s="56"/>
      <c r="D38" s="56"/>
      <c r="E38" s="56"/>
      <c r="F38" s="56"/>
      <c r="G38" s="56"/>
      <c r="H38" s="56"/>
    </row>
    <row r="39" spans="1:8" x14ac:dyDescent="0.25">
      <c r="A39" s="1"/>
      <c r="B39" s="53"/>
      <c r="C39" s="1"/>
      <c r="D39" s="53"/>
      <c r="E39" s="57"/>
      <c r="F39" s="52"/>
      <c r="G39" s="53"/>
      <c r="H39" s="53"/>
    </row>
    <row r="40" spans="1:8" x14ac:dyDescent="0.25">
      <c r="A40" s="1"/>
      <c r="B40" s="53"/>
      <c r="C40" s="1"/>
      <c r="D40" s="53"/>
      <c r="E40" s="57"/>
      <c r="F40" s="52"/>
      <c r="G40" s="53"/>
      <c r="H40" s="53"/>
    </row>
    <row r="41" spans="1:8" x14ac:dyDescent="0.25">
      <c r="A41" s="1"/>
      <c r="B41" s="53"/>
      <c r="C41" s="1"/>
      <c r="D41" s="53"/>
      <c r="E41" s="57"/>
      <c r="F41" s="1"/>
      <c r="G41" s="1"/>
      <c r="H41" s="1"/>
    </row>
    <row r="42" spans="1:8" x14ac:dyDescent="0.25">
      <c r="A42" s="1"/>
      <c r="B42" s="53"/>
      <c r="C42" s="1"/>
      <c r="D42" s="53"/>
      <c r="E42" s="57"/>
      <c r="F42" s="1"/>
      <c r="G42" s="1"/>
      <c r="H42" s="1"/>
    </row>
    <row r="43" spans="1:8" x14ac:dyDescent="0.25">
      <c r="A43" s="1"/>
      <c r="B43" s="53"/>
      <c r="C43" s="1"/>
      <c r="D43" s="53"/>
      <c r="E43" s="57"/>
      <c r="F43" s="1"/>
      <c r="G43" s="1"/>
      <c r="H43" s="1"/>
    </row>
    <row r="44" spans="1:8" x14ac:dyDescent="0.25">
      <c r="A44" s="1"/>
      <c r="B44" s="53"/>
      <c r="C44" s="1"/>
      <c r="D44" s="53"/>
      <c r="E44" s="57"/>
      <c r="F44" s="1"/>
      <c r="G44" s="1"/>
      <c r="H44" s="1"/>
    </row>
    <row r="45" spans="1:8" x14ac:dyDescent="0.25">
      <c r="A45" s="1"/>
      <c r="B45" s="53"/>
      <c r="C45" s="1"/>
      <c r="D45" s="53"/>
      <c r="E45" s="58"/>
      <c r="F45" s="1"/>
      <c r="G45" s="1"/>
      <c r="H45" s="1"/>
    </row>
    <row r="46" spans="1:8" x14ac:dyDescent="0.25">
      <c r="A46" s="1"/>
      <c r="B46" s="53"/>
      <c r="C46" s="1"/>
      <c r="D46" s="1"/>
      <c r="E46" s="1"/>
      <c r="F46" s="1"/>
      <c r="G46" s="1"/>
      <c r="H46" s="1"/>
    </row>
    <row r="47" spans="1:8" x14ac:dyDescent="0.25">
      <c r="A47" s="1"/>
      <c r="B47" s="53"/>
      <c r="C47" s="1"/>
      <c r="D47" s="1"/>
      <c r="E47" s="1"/>
      <c r="F47" s="1"/>
      <c r="G47" s="1"/>
      <c r="H47" s="1"/>
    </row>
    <row r="48" spans="1:8" x14ac:dyDescent="0.25">
      <c r="A48" s="1"/>
      <c r="B48" s="53"/>
      <c r="C48" s="1"/>
      <c r="D48" s="1"/>
      <c r="E48" s="1"/>
      <c r="F48" s="1"/>
      <c r="G48" s="1"/>
      <c r="H48" s="1"/>
    </row>
    <row r="49" spans="1:8" x14ac:dyDescent="0.25">
      <c r="A49" s="59"/>
      <c r="B49" s="60"/>
      <c r="C49" s="59"/>
      <c r="D49" s="60"/>
      <c r="E49" s="59"/>
      <c r="F49" s="59"/>
      <c r="G49" s="60"/>
      <c r="H49" s="59"/>
    </row>
    <row r="50" spans="1:8" x14ac:dyDescent="0.25">
      <c r="A50" s="52"/>
    </row>
    <row r="51" spans="1:8" x14ac:dyDescent="0.25">
      <c r="A51" s="52"/>
      <c r="B51" s="52"/>
    </row>
    <row r="52" spans="1:8" x14ac:dyDescent="0.25">
      <c r="A52" s="52"/>
      <c r="B52" s="52"/>
      <c r="C52" s="56"/>
    </row>
    <row r="53" spans="1:8" x14ac:dyDescent="0.25">
      <c r="A53" s="54"/>
    </row>
    <row r="54" spans="1:8" x14ac:dyDescent="0.25">
      <c r="A54" s="54"/>
    </row>
    <row r="55" spans="1:8" x14ac:dyDescent="0.25">
      <c r="A55" s="54"/>
      <c r="B55" s="54"/>
    </row>
    <row r="56" spans="1:8" x14ac:dyDescent="0.25">
      <c r="A56" s="1"/>
      <c r="B56" s="1"/>
      <c r="C56" s="1"/>
      <c r="D56" s="1"/>
    </row>
    <row r="57" spans="1:8" x14ac:dyDescent="0.25">
      <c r="A57" s="55"/>
    </row>
    <row r="58" spans="1:8" x14ac:dyDescent="0.25">
      <c r="A58" s="1"/>
      <c r="B58" s="1"/>
      <c r="C58" s="52"/>
    </row>
    <row r="59" spans="1:8" x14ac:dyDescent="0.25">
      <c r="A59" s="1"/>
      <c r="B59" s="1"/>
      <c r="C59" s="1"/>
      <c r="D59" s="1"/>
    </row>
    <row r="60" spans="1:8" x14ac:dyDescent="0.25">
      <c r="A60" s="1"/>
      <c r="B60" s="1"/>
      <c r="C60" s="1"/>
      <c r="D60" s="1"/>
    </row>
    <row r="61" spans="1:8" x14ac:dyDescent="0.25">
      <c r="A61" s="1"/>
      <c r="B61" s="1"/>
      <c r="C61" s="1"/>
      <c r="D61" s="1"/>
    </row>
    <row r="62" spans="1:8" x14ac:dyDescent="0.25">
      <c r="A62" s="1"/>
      <c r="B62" s="1"/>
      <c r="C62" s="1"/>
      <c r="D62" s="1"/>
    </row>
    <row r="63" spans="1:8" x14ac:dyDescent="0.25">
      <c r="A63" s="1"/>
      <c r="B63" s="1"/>
      <c r="C63" s="1"/>
    </row>
    <row r="65" spans="1:8" x14ac:dyDescent="0.25">
      <c r="A65" s="56"/>
      <c r="B65" s="56"/>
      <c r="C65" s="56"/>
    </row>
    <row r="66" spans="1:8" x14ac:dyDescent="0.25">
      <c r="A66" s="56"/>
      <c r="B66" s="56"/>
      <c r="C66" s="56"/>
      <c r="D66" s="56"/>
      <c r="E66" s="56"/>
      <c r="F66" s="56"/>
      <c r="G66" s="56"/>
      <c r="H66" s="56"/>
    </row>
    <row r="67" spans="1:8" x14ac:dyDescent="0.25">
      <c r="A67" s="1"/>
      <c r="B67" s="53"/>
      <c r="C67" s="1"/>
      <c r="D67" s="53"/>
      <c r="E67" s="57"/>
      <c r="F67" s="52"/>
      <c r="G67" s="53"/>
      <c r="H67" s="53"/>
    </row>
    <row r="68" spans="1:8" x14ac:dyDescent="0.25">
      <c r="A68" s="1"/>
      <c r="B68" s="53"/>
      <c r="C68" s="1"/>
      <c r="D68" s="53"/>
      <c r="E68" s="57"/>
    </row>
    <row r="69" spans="1:8" x14ac:dyDescent="0.25">
      <c r="A69" s="1"/>
      <c r="B69" s="53"/>
      <c r="C69" s="1"/>
      <c r="D69" s="53"/>
      <c r="E69" s="57"/>
    </row>
    <row r="70" spans="1:8" x14ac:dyDescent="0.25">
      <c r="A70" s="1"/>
      <c r="B70" s="53"/>
      <c r="C70" s="1"/>
      <c r="D70" s="53"/>
      <c r="E70" s="57"/>
    </row>
    <row r="71" spans="1:8" x14ac:dyDescent="0.25">
      <c r="A71" s="1"/>
      <c r="B71" s="1"/>
      <c r="C71" s="1"/>
      <c r="D71" s="53"/>
      <c r="E71" s="57"/>
    </row>
    <row r="72" spans="1:8" x14ac:dyDescent="0.25">
      <c r="A72" s="1"/>
      <c r="B72" s="1"/>
      <c r="C72" s="1"/>
      <c r="D72" s="53"/>
      <c r="E72" s="58"/>
    </row>
    <row r="73" spans="1:8" x14ac:dyDescent="0.25">
      <c r="A73" s="59"/>
      <c r="B73" s="60"/>
      <c r="C73" s="59"/>
      <c r="D73" s="60"/>
      <c r="E73" s="59"/>
      <c r="F73" s="59"/>
      <c r="G73" s="60"/>
      <c r="H73" s="59"/>
    </row>
    <row r="74" spans="1:8" x14ac:dyDescent="0.25">
      <c r="A74" s="52"/>
    </row>
    <row r="75" spans="1:8" x14ac:dyDescent="0.25">
      <c r="A75" s="52"/>
      <c r="B75" s="52"/>
    </row>
    <row r="76" spans="1:8" x14ac:dyDescent="0.25">
      <c r="A76" s="52"/>
      <c r="B76" s="52"/>
      <c r="C76" s="56"/>
    </row>
    <row r="77" spans="1:8" x14ac:dyDescent="0.25">
      <c r="A77" s="54"/>
    </row>
    <row r="78" spans="1:8" x14ac:dyDescent="0.25">
      <c r="A78" s="54"/>
    </row>
    <row r="79" spans="1:8" x14ac:dyDescent="0.25">
      <c r="A79" s="54"/>
    </row>
    <row r="80" spans="1:8" x14ac:dyDescent="0.25">
      <c r="A80" s="54"/>
    </row>
    <row r="81" spans="1:8" x14ac:dyDescent="0.25">
      <c r="A81" s="54"/>
    </row>
    <row r="82" spans="1:8" x14ac:dyDescent="0.25">
      <c r="A82" s="1"/>
      <c r="B82" s="1"/>
      <c r="C82" s="52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  <c r="D84" s="1"/>
    </row>
    <row r="85" spans="1:8" x14ac:dyDescent="0.25">
      <c r="A85" s="1"/>
      <c r="B85" s="1"/>
      <c r="C85" s="1"/>
      <c r="D85" s="1"/>
    </row>
    <row r="86" spans="1:8" x14ac:dyDescent="0.25">
      <c r="A86" s="1"/>
      <c r="B86" s="1"/>
      <c r="C86" s="1"/>
      <c r="D86" s="1"/>
    </row>
    <row r="87" spans="1:8" x14ac:dyDescent="0.25">
      <c r="A87" s="1"/>
      <c r="B87" s="1"/>
      <c r="C87" s="1"/>
    </row>
    <row r="89" spans="1:8" x14ac:dyDescent="0.25">
      <c r="A89" s="56"/>
      <c r="B89" s="56"/>
      <c r="C89" s="56"/>
    </row>
    <row r="90" spans="1:8" x14ac:dyDescent="0.25">
      <c r="A90" s="56"/>
      <c r="B90" s="56"/>
      <c r="C90" s="56"/>
      <c r="D90" s="56"/>
      <c r="E90" s="56"/>
      <c r="F90" s="56"/>
      <c r="G90" s="56"/>
      <c r="H90" s="56"/>
    </row>
    <row r="91" spans="1:8" x14ac:dyDescent="0.25">
      <c r="A91" s="1"/>
      <c r="B91" s="53"/>
      <c r="C91" s="1"/>
      <c r="D91" s="53"/>
      <c r="E91" s="57"/>
      <c r="F91" s="52"/>
      <c r="G91" s="53"/>
      <c r="H91" s="53"/>
    </row>
    <row r="92" spans="1:8" x14ac:dyDescent="0.25">
      <c r="A92" s="1"/>
      <c r="B92" s="53"/>
      <c r="C92" s="1"/>
      <c r="D92" s="53"/>
      <c r="E92" s="57"/>
    </row>
    <row r="93" spans="1:8" x14ac:dyDescent="0.25">
      <c r="A93" s="1"/>
      <c r="B93" s="53"/>
      <c r="C93" s="1"/>
      <c r="D93" s="53"/>
      <c r="E93" s="57"/>
    </row>
    <row r="94" spans="1:8" x14ac:dyDescent="0.25">
      <c r="A94" s="1"/>
      <c r="B94" s="53"/>
      <c r="C94" s="1"/>
      <c r="D94" s="53"/>
      <c r="E94" s="57"/>
    </row>
    <row r="95" spans="1:8" x14ac:dyDescent="0.25">
      <c r="A95" s="1"/>
      <c r="B95" s="53"/>
      <c r="C95" s="1"/>
      <c r="D95" s="53"/>
      <c r="E95" s="57"/>
    </row>
    <row r="96" spans="1:8" x14ac:dyDescent="0.25">
      <c r="A96" s="1"/>
      <c r="B96" s="53"/>
      <c r="C96" s="1"/>
      <c r="D96" s="53"/>
      <c r="E96" s="57"/>
    </row>
    <row r="97" spans="1:8" x14ac:dyDescent="0.25">
      <c r="A97" s="1"/>
      <c r="B97" s="53"/>
      <c r="C97" s="1"/>
      <c r="D97" s="53"/>
      <c r="E97" s="57"/>
    </row>
    <row r="98" spans="1:8" x14ac:dyDescent="0.25">
      <c r="A98" s="1"/>
      <c r="B98" s="1"/>
      <c r="C98" s="1"/>
      <c r="D98" s="53"/>
      <c r="E98" s="58"/>
    </row>
    <row r="99" spans="1:8" x14ac:dyDescent="0.25">
      <c r="A99" s="59"/>
      <c r="B99" s="60"/>
      <c r="C99" s="59"/>
      <c r="D99" s="60"/>
      <c r="E99" s="59"/>
      <c r="F99" s="59"/>
      <c r="G99" s="60"/>
      <c r="H99" s="59"/>
    </row>
    <row r="100" spans="1:8" x14ac:dyDescent="0.25">
      <c r="A100" s="52"/>
    </row>
    <row r="101" spans="1:8" x14ac:dyDescent="0.25">
      <c r="A101" s="52"/>
      <c r="B101" s="52"/>
    </row>
    <row r="102" spans="1:8" x14ac:dyDescent="0.25">
      <c r="A102" s="52"/>
      <c r="B102" s="52"/>
      <c r="C102" s="56"/>
    </row>
    <row r="103" spans="1:8" x14ac:dyDescent="0.25">
      <c r="A103" s="54"/>
    </row>
    <row r="104" spans="1:8" x14ac:dyDescent="0.25">
      <c r="A104" s="54"/>
    </row>
    <row r="105" spans="1:8" x14ac:dyDescent="0.25">
      <c r="A105" s="54"/>
    </row>
    <row r="106" spans="1:8" x14ac:dyDescent="0.25">
      <c r="A106" s="54"/>
    </row>
    <row r="107" spans="1:8" x14ac:dyDescent="0.25">
      <c r="A107" s="54"/>
    </row>
    <row r="108" spans="1:8" x14ac:dyDescent="0.25">
      <c r="A108" s="1"/>
      <c r="B108" s="1"/>
      <c r="C108" s="52"/>
    </row>
    <row r="109" spans="1:8" x14ac:dyDescent="0.25">
      <c r="A109" s="1"/>
      <c r="B109" s="1"/>
      <c r="C109" s="1"/>
      <c r="D109" s="1"/>
    </row>
    <row r="110" spans="1:8" x14ac:dyDescent="0.25">
      <c r="A110" s="1"/>
      <c r="B110" s="1"/>
      <c r="C110" s="1"/>
      <c r="D110" s="1"/>
    </row>
    <row r="111" spans="1:8" x14ac:dyDescent="0.25">
      <c r="A111" s="1"/>
      <c r="B111" s="1"/>
      <c r="C111" s="1"/>
      <c r="D111" s="1"/>
    </row>
    <row r="112" spans="1:8" x14ac:dyDescent="0.25">
      <c r="A112" s="1"/>
      <c r="B112" s="1"/>
      <c r="C112" s="1"/>
      <c r="D112" s="1"/>
    </row>
    <row r="113" spans="1:8" x14ac:dyDescent="0.25">
      <c r="A113" s="1"/>
      <c r="B113" s="1"/>
      <c r="C113" s="1"/>
    </row>
    <row r="114" spans="1:8" x14ac:dyDescent="0.25">
      <c r="A114" s="56"/>
      <c r="B114" s="56"/>
      <c r="C114" s="56"/>
    </row>
    <row r="115" spans="1:8" x14ac:dyDescent="0.25">
      <c r="A115" s="56"/>
      <c r="B115" s="56"/>
      <c r="C115" s="56"/>
      <c r="D115" s="56"/>
      <c r="E115" s="56"/>
      <c r="F115" s="56"/>
      <c r="G115" s="56"/>
      <c r="H115" s="56"/>
    </row>
    <row r="116" spans="1:8" x14ac:dyDescent="0.25">
      <c r="A116" s="1"/>
      <c r="B116" s="53"/>
      <c r="C116" s="1"/>
      <c r="D116" s="53"/>
      <c r="E116" s="57"/>
      <c r="F116" s="52"/>
      <c r="G116" s="53"/>
      <c r="H116" s="53"/>
    </row>
    <row r="117" spans="1:8" x14ac:dyDescent="0.25">
      <c r="A117" s="1"/>
      <c r="B117" s="53"/>
      <c r="C117" s="1"/>
      <c r="D117" s="53"/>
      <c r="E117" s="57"/>
      <c r="F117" s="52"/>
      <c r="G117" s="53"/>
      <c r="H117" s="53"/>
    </row>
    <row r="118" spans="1:8" x14ac:dyDescent="0.25">
      <c r="A118" s="1"/>
      <c r="B118" s="53"/>
      <c r="C118" s="1"/>
      <c r="D118" s="53"/>
      <c r="E118" s="57"/>
      <c r="F118" s="1"/>
      <c r="G118" s="1"/>
      <c r="H118" s="1"/>
    </row>
    <row r="119" spans="1:8" x14ac:dyDescent="0.25">
      <c r="A119" s="1"/>
      <c r="B119" s="53"/>
      <c r="C119" s="1"/>
      <c r="D119" s="53"/>
      <c r="E119" s="57"/>
      <c r="F119" s="1"/>
      <c r="G119" s="1"/>
      <c r="H119" s="1"/>
    </row>
    <row r="120" spans="1:8" x14ac:dyDescent="0.25">
      <c r="A120" s="1"/>
      <c r="B120" s="53"/>
      <c r="C120" s="1"/>
      <c r="D120" s="53"/>
      <c r="E120" s="57"/>
      <c r="F120" s="1"/>
      <c r="G120" s="1"/>
      <c r="H120" s="1"/>
    </row>
    <row r="121" spans="1:8" x14ac:dyDescent="0.25">
      <c r="A121" s="1"/>
      <c r="B121" s="53"/>
      <c r="C121" s="1"/>
      <c r="D121" s="53"/>
      <c r="E121" s="57"/>
      <c r="F121" s="1"/>
      <c r="G121" s="1"/>
      <c r="H121" s="1"/>
    </row>
    <row r="122" spans="1:8" x14ac:dyDescent="0.25">
      <c r="A122" s="1"/>
      <c r="B122" s="53"/>
      <c r="C122" s="1"/>
      <c r="D122" s="53"/>
      <c r="E122" s="58"/>
      <c r="F122" s="1"/>
      <c r="G122" s="1"/>
      <c r="H122" s="1"/>
    </row>
    <row r="123" spans="1:8" x14ac:dyDescent="0.25">
      <c r="A123" s="1"/>
      <c r="B123" s="53"/>
      <c r="C123" s="1"/>
      <c r="D123" s="1"/>
      <c r="E123" s="1"/>
      <c r="F123" s="1"/>
      <c r="G123" s="1"/>
      <c r="H123" s="1"/>
    </row>
    <row r="124" spans="1:8" x14ac:dyDescent="0.25">
      <c r="A124" s="1"/>
      <c r="B124" s="53"/>
      <c r="C124" s="1"/>
      <c r="D124" s="1"/>
      <c r="E124" s="1"/>
      <c r="F124" s="1"/>
      <c r="G124" s="1"/>
      <c r="H124" s="1"/>
    </row>
    <row r="125" spans="1:8" x14ac:dyDescent="0.25">
      <c r="A125" s="1"/>
      <c r="B125" s="53"/>
      <c r="C125" s="1"/>
      <c r="D125" s="1"/>
      <c r="E125" s="1"/>
      <c r="F125" s="1"/>
      <c r="G125" s="1"/>
      <c r="H125" s="1"/>
    </row>
    <row r="126" spans="1:8" x14ac:dyDescent="0.25">
      <c r="A126" s="59"/>
      <c r="B126" s="60"/>
      <c r="C126" s="59"/>
      <c r="D126" s="60"/>
      <c r="E126" s="59"/>
      <c r="F126" s="59"/>
      <c r="G126" s="60"/>
      <c r="H126" s="59"/>
    </row>
    <row r="127" spans="1:8" x14ac:dyDescent="0.25">
      <c r="A127" s="52"/>
    </row>
    <row r="128" spans="1:8" x14ac:dyDescent="0.25">
      <c r="A128" s="52"/>
      <c r="B128" s="52"/>
    </row>
    <row r="129" spans="1:3" x14ac:dyDescent="0.25">
      <c r="A129" s="52"/>
      <c r="B129" s="52"/>
      <c r="C129" s="56"/>
    </row>
    <row r="130" spans="1:3" x14ac:dyDescent="0.25">
      <c r="A130" s="54"/>
    </row>
    <row r="131" spans="1:3" x14ac:dyDescent="0.25">
      <c r="A131" s="54"/>
    </row>
    <row r="132" spans="1:3" x14ac:dyDescent="0.25">
      <c r="A132" s="54"/>
      <c r="B132" s="5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selection activeCell="A11" sqref="A11"/>
    </sheetView>
  </sheetViews>
  <sheetFormatPr defaultRowHeight="15" x14ac:dyDescent="0.25"/>
  <cols>
    <col min="1" max="1" width="49.28515625" style="2" customWidth="1"/>
    <col min="2" max="2" width="26.7109375" style="2" customWidth="1"/>
    <col min="3" max="3" width="31.28515625" style="2" customWidth="1"/>
    <col min="4" max="4" width="22.28515625" style="2" customWidth="1"/>
    <col min="5" max="5" width="8.5703125" style="2" bestFit="1" customWidth="1"/>
    <col min="6" max="6" width="22.42578125" style="2" bestFit="1" customWidth="1"/>
    <col min="7" max="7" width="12.85546875" style="2" bestFit="1" customWidth="1"/>
    <col min="8" max="8" width="8.5703125" style="2" bestFit="1" customWidth="1"/>
    <col min="9" max="16384" width="9.140625" style="2"/>
  </cols>
  <sheetData>
    <row r="1" spans="1:8" x14ac:dyDescent="0.25">
      <c r="A1" s="55"/>
    </row>
    <row r="2" spans="1:8" x14ac:dyDescent="0.25">
      <c r="A2" s="1"/>
      <c r="B2" s="1"/>
      <c r="C2" s="52"/>
    </row>
    <row r="3" spans="1:8" x14ac:dyDescent="0.25">
      <c r="A3" s="1"/>
      <c r="B3" s="1"/>
      <c r="C3" s="1"/>
      <c r="D3" s="1"/>
    </row>
    <row r="4" spans="1:8" x14ac:dyDescent="0.25">
      <c r="A4" s="1"/>
      <c r="B4" s="1"/>
      <c r="C4" s="1"/>
      <c r="D4" s="1"/>
    </row>
    <row r="5" spans="1:8" x14ac:dyDescent="0.25">
      <c r="A5" s="1"/>
      <c r="B5" s="1"/>
      <c r="C5" s="1"/>
      <c r="D5" s="1"/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</row>
    <row r="9" spans="1:8" x14ac:dyDescent="0.25">
      <c r="A9" s="56"/>
      <c r="B9" s="56"/>
      <c r="C9" s="56"/>
    </row>
    <row r="10" spans="1:8" x14ac:dyDescent="0.25">
      <c r="A10" s="56"/>
      <c r="B10" s="56"/>
      <c r="C10" s="56"/>
      <c r="D10" s="56"/>
      <c r="E10" s="56"/>
      <c r="F10" s="56"/>
      <c r="G10" s="56"/>
      <c r="H10" s="56"/>
    </row>
    <row r="11" spans="1:8" x14ac:dyDescent="0.25">
      <c r="A11" s="1"/>
      <c r="B11" s="53"/>
      <c r="C11" s="1"/>
      <c r="D11" s="53"/>
      <c r="E11" s="57"/>
      <c r="F11" s="52"/>
      <c r="G11" s="53"/>
      <c r="H11" s="53"/>
    </row>
    <row r="12" spans="1:8" x14ac:dyDescent="0.25">
      <c r="A12" s="1"/>
      <c r="B12" s="53"/>
      <c r="C12" s="1"/>
      <c r="D12" s="53"/>
      <c r="E12" s="57"/>
      <c r="F12" s="52"/>
      <c r="G12" s="53"/>
      <c r="H12" s="53"/>
    </row>
    <row r="13" spans="1:8" x14ac:dyDescent="0.25">
      <c r="A13" s="1"/>
      <c r="B13" s="53"/>
      <c r="C13" s="1"/>
      <c r="D13" s="53"/>
      <c r="E13" s="57"/>
      <c r="F13" s="1"/>
      <c r="G13" s="1"/>
      <c r="H13" s="1"/>
    </row>
    <row r="14" spans="1:8" x14ac:dyDescent="0.25">
      <c r="A14" s="1"/>
      <c r="B14" s="53"/>
      <c r="C14" s="1"/>
      <c r="D14" s="53"/>
      <c r="E14" s="57"/>
      <c r="F14" s="1"/>
      <c r="G14" s="1"/>
      <c r="H14" s="1"/>
    </row>
    <row r="15" spans="1:8" x14ac:dyDescent="0.25">
      <c r="A15" s="1"/>
      <c r="B15" s="53"/>
      <c r="C15" s="1"/>
      <c r="D15" s="53"/>
      <c r="E15" s="58"/>
      <c r="F15" s="1"/>
      <c r="G15" s="1"/>
      <c r="H15" s="1"/>
    </row>
    <row r="16" spans="1:8" x14ac:dyDescent="0.25">
      <c r="A16" s="1"/>
      <c r="B16" s="53"/>
      <c r="C16" s="1"/>
      <c r="D16" s="1"/>
      <c r="E16" s="1"/>
      <c r="F16" s="1"/>
      <c r="G16" s="1"/>
      <c r="H16" s="1"/>
    </row>
    <row r="17" spans="1:8" x14ac:dyDescent="0.25">
      <c r="A17" s="1"/>
      <c r="B17" s="53"/>
      <c r="C17" s="1"/>
      <c r="D17" s="1"/>
      <c r="E17" s="1"/>
      <c r="F17" s="1"/>
      <c r="G17" s="1"/>
      <c r="H17" s="1"/>
    </row>
    <row r="18" spans="1:8" x14ac:dyDescent="0.25">
      <c r="A18" s="1"/>
      <c r="B18" s="53"/>
      <c r="C18" s="1"/>
      <c r="D18" s="1"/>
      <c r="E18" s="1"/>
      <c r="F18" s="1"/>
      <c r="G18" s="1"/>
      <c r="H18" s="1"/>
    </row>
    <row r="19" spans="1:8" x14ac:dyDescent="0.25">
      <c r="A19" s="59"/>
      <c r="B19" s="60"/>
      <c r="C19" s="59"/>
      <c r="D19" s="60"/>
      <c r="E19" s="59"/>
      <c r="F19" s="59"/>
      <c r="G19" s="60"/>
      <c r="H19" s="59"/>
    </row>
    <row r="20" spans="1:8" x14ac:dyDescent="0.25">
      <c r="A20" s="52"/>
    </row>
    <row r="21" spans="1:8" x14ac:dyDescent="0.25">
      <c r="A21" s="52"/>
      <c r="B21" s="52"/>
    </row>
    <row r="22" spans="1:8" x14ac:dyDescent="0.25">
      <c r="A22" s="52"/>
      <c r="B22" s="52"/>
      <c r="C22" s="56"/>
    </row>
    <row r="23" spans="1:8" x14ac:dyDescent="0.25">
      <c r="A23" s="54"/>
    </row>
    <row r="24" spans="1:8" x14ac:dyDescent="0.25">
      <c r="A24" s="54"/>
    </row>
    <row r="25" spans="1:8" x14ac:dyDescent="0.25">
      <c r="A25" s="54"/>
    </row>
    <row r="26" spans="1:8" x14ac:dyDescent="0.25">
      <c r="A26" s="54"/>
    </row>
    <row r="27" spans="1:8" x14ac:dyDescent="0.25">
      <c r="A27" s="54"/>
    </row>
    <row r="28" spans="1:8" x14ac:dyDescent="0.25">
      <c r="A28" s="1"/>
      <c r="B28" s="1"/>
      <c r="C28" s="52"/>
    </row>
    <row r="29" spans="1:8" x14ac:dyDescent="0.25">
      <c r="A29" s="1"/>
      <c r="B29" s="1"/>
      <c r="C29" s="1"/>
      <c r="D29" s="1"/>
    </row>
    <row r="30" spans="1:8" x14ac:dyDescent="0.25">
      <c r="A30" s="1"/>
      <c r="B30" s="1"/>
      <c r="C30" s="1"/>
      <c r="D30" s="1"/>
    </row>
    <row r="31" spans="1:8" x14ac:dyDescent="0.25">
      <c r="A31" s="1"/>
      <c r="B31" s="1"/>
      <c r="C31" s="1"/>
      <c r="D31" s="1"/>
    </row>
    <row r="32" spans="1:8" x14ac:dyDescent="0.25">
      <c r="A32" s="1"/>
      <c r="B32" s="1"/>
      <c r="C32" s="1"/>
      <c r="D32" s="1"/>
    </row>
    <row r="33" spans="1:8" x14ac:dyDescent="0.25">
      <c r="A33" s="1"/>
      <c r="B33" s="1"/>
      <c r="C33" s="1"/>
    </row>
    <row r="35" spans="1:8" x14ac:dyDescent="0.25">
      <c r="A35" s="56"/>
      <c r="B35" s="56"/>
      <c r="C35" s="56"/>
    </row>
    <row r="36" spans="1:8" x14ac:dyDescent="0.25">
      <c r="A36" s="56"/>
      <c r="B36" s="56"/>
      <c r="C36" s="56"/>
      <c r="D36" s="56"/>
      <c r="E36" s="56"/>
      <c r="F36" s="56"/>
      <c r="G36" s="56"/>
      <c r="H36" s="56"/>
    </row>
    <row r="37" spans="1:8" x14ac:dyDescent="0.25">
      <c r="A37" s="1"/>
      <c r="B37" s="53"/>
      <c r="C37" s="1"/>
      <c r="D37" s="53"/>
      <c r="E37" s="57"/>
      <c r="F37" s="52"/>
      <c r="G37" s="53"/>
      <c r="H37" s="53"/>
    </row>
    <row r="38" spans="1:8" x14ac:dyDescent="0.25">
      <c r="A38" s="1"/>
      <c r="B38" s="53"/>
      <c r="C38" s="1"/>
      <c r="D38" s="53"/>
      <c r="E38" s="57"/>
      <c r="F38" s="52"/>
      <c r="G38" s="53"/>
      <c r="H38" s="53"/>
    </row>
    <row r="39" spans="1:8" x14ac:dyDescent="0.25">
      <c r="A39" s="1"/>
      <c r="B39" s="53"/>
      <c r="C39" s="1"/>
      <c r="D39" s="53"/>
      <c r="E39" s="57"/>
      <c r="F39" s="1"/>
      <c r="G39" s="1"/>
      <c r="H39" s="1"/>
    </row>
    <row r="40" spans="1:8" x14ac:dyDescent="0.25">
      <c r="A40" s="1"/>
      <c r="B40" s="53"/>
      <c r="C40" s="1"/>
      <c r="D40" s="53"/>
      <c r="E40" s="57"/>
      <c r="F40" s="1"/>
      <c r="G40" s="1"/>
      <c r="H40" s="1"/>
    </row>
    <row r="41" spans="1:8" x14ac:dyDescent="0.25">
      <c r="A41" s="1"/>
      <c r="B41" s="53"/>
      <c r="C41" s="1"/>
      <c r="D41" s="53"/>
      <c r="E41" s="58"/>
      <c r="F41" s="1"/>
      <c r="G41" s="1"/>
      <c r="H41" s="1"/>
    </row>
    <row r="42" spans="1:8" x14ac:dyDescent="0.25">
      <c r="A42" s="1"/>
      <c r="B42" s="53"/>
      <c r="C42" s="1"/>
      <c r="D42" s="1"/>
      <c r="E42" s="1"/>
      <c r="F42" s="1"/>
      <c r="G42" s="1"/>
      <c r="H42" s="1"/>
    </row>
    <row r="43" spans="1:8" x14ac:dyDescent="0.25">
      <c r="A43" s="1"/>
      <c r="B43" s="53"/>
      <c r="C43" s="1"/>
      <c r="D43" s="1"/>
      <c r="E43" s="1"/>
      <c r="F43" s="1"/>
      <c r="G43" s="1"/>
      <c r="H43" s="1"/>
    </row>
    <row r="44" spans="1:8" x14ac:dyDescent="0.25">
      <c r="A44" s="1"/>
      <c r="B44" s="53"/>
      <c r="C44" s="1"/>
      <c r="D44" s="1"/>
      <c r="E44" s="1"/>
      <c r="F44" s="1"/>
      <c r="G44" s="1"/>
      <c r="H44" s="1"/>
    </row>
    <row r="45" spans="1:8" x14ac:dyDescent="0.25">
      <c r="A45" s="59"/>
      <c r="B45" s="60"/>
      <c r="C45" s="59"/>
      <c r="D45" s="60"/>
      <c r="E45" s="59"/>
      <c r="F45" s="59"/>
      <c r="G45" s="60"/>
      <c r="H45" s="59"/>
    </row>
    <row r="46" spans="1:8" x14ac:dyDescent="0.25">
      <c r="A46" s="52"/>
    </row>
    <row r="47" spans="1:8" x14ac:dyDescent="0.25">
      <c r="A47" s="52"/>
      <c r="B47" s="52"/>
    </row>
    <row r="48" spans="1:8" x14ac:dyDescent="0.25">
      <c r="A48" s="52"/>
      <c r="B48" s="52"/>
      <c r="C48" s="56"/>
    </row>
    <row r="49" spans="1:8" x14ac:dyDescent="0.25">
      <c r="A49" s="54"/>
    </row>
    <row r="50" spans="1:8" x14ac:dyDescent="0.25">
      <c r="A50" s="54"/>
    </row>
    <row r="51" spans="1:8" x14ac:dyDescent="0.25">
      <c r="A51" s="54"/>
    </row>
    <row r="52" spans="1:8" x14ac:dyDescent="0.25">
      <c r="A52" s="54"/>
    </row>
    <row r="53" spans="1:8" x14ac:dyDescent="0.25">
      <c r="A53" s="54"/>
    </row>
    <row r="54" spans="1:8" x14ac:dyDescent="0.25">
      <c r="A54" s="1"/>
      <c r="B54" s="1"/>
      <c r="C54" s="52"/>
    </row>
    <row r="55" spans="1:8" x14ac:dyDescent="0.25">
      <c r="A55" s="1"/>
      <c r="B55" s="1"/>
      <c r="C55" s="1"/>
      <c r="D55" s="1"/>
    </row>
    <row r="56" spans="1:8" x14ac:dyDescent="0.25">
      <c r="A56" s="1"/>
      <c r="B56" s="1"/>
      <c r="C56" s="1"/>
      <c r="D56" s="1"/>
    </row>
    <row r="57" spans="1:8" x14ac:dyDescent="0.25">
      <c r="A57" s="1"/>
      <c r="B57" s="1"/>
      <c r="C57" s="1"/>
      <c r="D57" s="1"/>
    </row>
    <row r="58" spans="1:8" x14ac:dyDescent="0.25">
      <c r="A58" s="1"/>
      <c r="B58" s="1"/>
      <c r="C58" s="1"/>
      <c r="D58" s="1"/>
    </row>
    <row r="59" spans="1:8" x14ac:dyDescent="0.25">
      <c r="A59" s="1"/>
      <c r="B59" s="1"/>
      <c r="C59" s="1"/>
    </row>
    <row r="61" spans="1:8" x14ac:dyDescent="0.25">
      <c r="A61" s="56"/>
      <c r="B61" s="56"/>
      <c r="C61" s="56"/>
    </row>
    <row r="62" spans="1:8" x14ac:dyDescent="0.25">
      <c r="A62" s="56"/>
      <c r="B62" s="56"/>
      <c r="C62" s="56"/>
      <c r="D62" s="56"/>
      <c r="E62" s="56"/>
      <c r="F62" s="56"/>
      <c r="G62" s="56"/>
      <c r="H62" s="56"/>
    </row>
    <row r="63" spans="1:8" x14ac:dyDescent="0.25">
      <c r="A63" s="1"/>
      <c r="B63" s="53"/>
      <c r="C63" s="1"/>
      <c r="D63" s="53"/>
      <c r="E63" s="57"/>
      <c r="F63" s="52"/>
      <c r="G63" s="53"/>
      <c r="H63" s="53"/>
    </row>
    <row r="64" spans="1:8" x14ac:dyDescent="0.25">
      <c r="A64" s="1"/>
      <c r="B64" s="53"/>
      <c r="C64" s="1"/>
      <c r="D64" s="53"/>
      <c r="E64" s="57"/>
      <c r="F64" s="52"/>
      <c r="G64" s="53"/>
      <c r="H64" s="53"/>
    </row>
    <row r="65" spans="1:8" x14ac:dyDescent="0.25">
      <c r="A65" s="1"/>
      <c r="B65" s="53"/>
      <c r="C65" s="1"/>
      <c r="D65" s="53"/>
      <c r="E65" s="57"/>
      <c r="F65" s="1"/>
      <c r="G65" s="1"/>
      <c r="H65" s="1"/>
    </row>
    <row r="66" spans="1:8" x14ac:dyDescent="0.25">
      <c r="A66" s="1"/>
      <c r="B66" s="53"/>
      <c r="C66" s="1"/>
      <c r="D66" s="53"/>
      <c r="E66" s="57"/>
      <c r="F66" s="1"/>
      <c r="G66" s="1"/>
      <c r="H66" s="1"/>
    </row>
    <row r="67" spans="1:8" x14ac:dyDescent="0.25">
      <c r="A67" s="1"/>
      <c r="B67" s="53"/>
      <c r="C67" s="1"/>
      <c r="D67" s="53"/>
      <c r="E67" s="58"/>
      <c r="F67" s="1"/>
      <c r="G67" s="1"/>
      <c r="H67" s="1"/>
    </row>
    <row r="68" spans="1:8" x14ac:dyDescent="0.25">
      <c r="A68" s="1"/>
      <c r="B68" s="53"/>
      <c r="C68" s="1"/>
      <c r="D68" s="1"/>
      <c r="E68" s="1"/>
      <c r="F68" s="1"/>
      <c r="G68" s="1"/>
      <c r="H68" s="1"/>
    </row>
    <row r="69" spans="1:8" x14ac:dyDescent="0.25">
      <c r="A69" s="1"/>
      <c r="B69" s="53"/>
      <c r="C69" s="1"/>
      <c r="D69" s="1"/>
      <c r="E69" s="1"/>
      <c r="F69" s="1"/>
      <c r="G69" s="1"/>
      <c r="H69" s="1"/>
    </row>
    <row r="70" spans="1:8" x14ac:dyDescent="0.25">
      <c r="A70" s="1"/>
      <c r="B70" s="53"/>
      <c r="C70" s="1"/>
      <c r="D70" s="1"/>
      <c r="E70" s="1"/>
      <c r="F70" s="1"/>
      <c r="G70" s="1"/>
      <c r="H70" s="1"/>
    </row>
    <row r="71" spans="1:8" x14ac:dyDescent="0.25">
      <c r="A71" s="59"/>
      <c r="B71" s="60"/>
      <c r="C71" s="59"/>
      <c r="D71" s="60"/>
      <c r="E71" s="59"/>
      <c r="F71" s="59"/>
      <c r="G71" s="60"/>
      <c r="H71" s="59"/>
    </row>
    <row r="72" spans="1:8" x14ac:dyDescent="0.25">
      <c r="A72" s="52"/>
    </row>
    <row r="73" spans="1:8" x14ac:dyDescent="0.25">
      <c r="A73" s="52"/>
      <c r="B73" s="52"/>
    </row>
    <row r="74" spans="1:8" x14ac:dyDescent="0.25">
      <c r="A74" s="52"/>
      <c r="B74" s="52"/>
      <c r="C74" s="56"/>
    </row>
    <row r="75" spans="1:8" x14ac:dyDescent="0.25">
      <c r="A75" s="54"/>
    </row>
    <row r="76" spans="1:8" x14ac:dyDescent="0.25">
      <c r="A76" s="54"/>
    </row>
    <row r="77" spans="1:8" x14ac:dyDescent="0.25">
      <c r="A77" s="54"/>
    </row>
    <row r="78" spans="1:8" x14ac:dyDescent="0.25">
      <c r="A78" s="54"/>
    </row>
    <row r="79" spans="1:8" x14ac:dyDescent="0.25">
      <c r="A79" s="54"/>
    </row>
    <row r="80" spans="1:8" x14ac:dyDescent="0.25">
      <c r="A80" s="1"/>
      <c r="B80" s="1"/>
      <c r="C80" s="52"/>
    </row>
    <row r="81" spans="1:8" x14ac:dyDescent="0.25">
      <c r="A81" s="1"/>
      <c r="B81" s="1"/>
      <c r="C81" s="1"/>
      <c r="D81" s="1"/>
    </row>
    <row r="82" spans="1:8" x14ac:dyDescent="0.25">
      <c r="A82" s="1"/>
      <c r="B82" s="1"/>
      <c r="C82" s="1"/>
      <c r="D82" s="1"/>
    </row>
    <row r="83" spans="1:8" x14ac:dyDescent="0.25">
      <c r="A83" s="1"/>
      <c r="B83" s="1"/>
      <c r="C83" s="1"/>
      <c r="D83" s="1"/>
    </row>
    <row r="84" spans="1:8" x14ac:dyDescent="0.25">
      <c r="A84" s="1"/>
      <c r="B84" s="1"/>
      <c r="C84" s="1"/>
      <c r="D84" s="1"/>
    </row>
    <row r="85" spans="1:8" x14ac:dyDescent="0.25">
      <c r="A85" s="1"/>
      <c r="B85" s="1"/>
      <c r="C85" s="1"/>
    </row>
    <row r="87" spans="1:8" x14ac:dyDescent="0.25">
      <c r="A87" s="56"/>
      <c r="B87" s="56"/>
      <c r="C87" s="56"/>
    </row>
    <row r="88" spans="1:8" x14ac:dyDescent="0.25">
      <c r="A88" s="56"/>
      <c r="B88" s="56"/>
      <c r="C88" s="56"/>
      <c r="D88" s="56"/>
      <c r="E88" s="56"/>
      <c r="F88" s="56"/>
      <c r="G88" s="56"/>
      <c r="H88" s="56"/>
    </row>
    <row r="89" spans="1:8" x14ac:dyDescent="0.25">
      <c r="A89" s="1"/>
      <c r="B89" s="53"/>
      <c r="C89" s="1"/>
      <c r="D89" s="53"/>
      <c r="E89" s="57"/>
      <c r="F89" s="52"/>
      <c r="G89" s="53"/>
      <c r="H89" s="53"/>
    </row>
    <row r="90" spans="1:8" x14ac:dyDescent="0.25">
      <c r="A90" s="1"/>
      <c r="B90" s="53"/>
      <c r="C90" s="1"/>
      <c r="D90" s="53"/>
      <c r="E90" s="57"/>
      <c r="F90" s="52"/>
      <c r="G90" s="53"/>
      <c r="H90" s="53"/>
    </row>
    <row r="91" spans="1:8" x14ac:dyDescent="0.25">
      <c r="A91" s="1"/>
      <c r="B91" s="53"/>
      <c r="C91" s="1"/>
      <c r="D91" s="53"/>
      <c r="E91" s="57"/>
      <c r="F91" s="1"/>
      <c r="G91" s="1"/>
      <c r="H91" s="1"/>
    </row>
    <row r="92" spans="1:8" x14ac:dyDescent="0.25">
      <c r="A92" s="1"/>
      <c r="B92" s="53"/>
      <c r="C92" s="1"/>
      <c r="D92" s="53"/>
      <c r="E92" s="57"/>
      <c r="F92" s="1"/>
      <c r="G92" s="1"/>
      <c r="H92" s="1"/>
    </row>
    <row r="93" spans="1:8" x14ac:dyDescent="0.25">
      <c r="A93" s="1"/>
      <c r="B93" s="53"/>
      <c r="C93" s="1"/>
      <c r="D93" s="53"/>
      <c r="E93" s="58"/>
      <c r="F93" s="1"/>
      <c r="G93" s="1"/>
      <c r="H93" s="1"/>
    </row>
    <row r="94" spans="1:8" x14ac:dyDescent="0.25">
      <c r="A94" s="1"/>
      <c r="B94" s="53"/>
      <c r="C94" s="1"/>
      <c r="D94" s="1"/>
      <c r="E94" s="1"/>
      <c r="F94" s="1"/>
      <c r="G94" s="1"/>
      <c r="H94" s="1"/>
    </row>
    <row r="95" spans="1:8" x14ac:dyDescent="0.25">
      <c r="A95" s="1"/>
      <c r="B95" s="53"/>
      <c r="C95" s="1"/>
      <c r="D95" s="1"/>
      <c r="E95" s="1"/>
      <c r="F95" s="1"/>
      <c r="G95" s="1"/>
      <c r="H95" s="1"/>
    </row>
    <row r="96" spans="1:8" x14ac:dyDescent="0.25">
      <c r="A96" s="1"/>
      <c r="B96" s="53"/>
      <c r="C96" s="1"/>
      <c r="D96" s="1"/>
      <c r="E96" s="1"/>
      <c r="F96" s="1"/>
      <c r="G96" s="1"/>
      <c r="H96" s="1"/>
    </row>
    <row r="97" spans="1:8" x14ac:dyDescent="0.25">
      <c r="A97" s="59"/>
      <c r="B97" s="60"/>
      <c r="C97" s="59"/>
      <c r="D97" s="60"/>
      <c r="E97" s="59"/>
      <c r="F97" s="59"/>
      <c r="G97" s="60"/>
      <c r="H97" s="59"/>
    </row>
    <row r="98" spans="1:8" x14ac:dyDescent="0.25">
      <c r="A98" s="52"/>
    </row>
    <row r="99" spans="1:8" x14ac:dyDescent="0.25">
      <c r="A99" s="52"/>
      <c r="B99" s="52"/>
    </row>
    <row r="100" spans="1:8" x14ac:dyDescent="0.25">
      <c r="A100" s="52"/>
      <c r="B100" s="52"/>
      <c r="C100" s="56"/>
    </row>
    <row r="101" spans="1:8" x14ac:dyDescent="0.25">
      <c r="A101" s="54"/>
    </row>
    <row r="102" spans="1:8" x14ac:dyDescent="0.25">
      <c r="A102" s="54"/>
    </row>
    <row r="103" spans="1:8" x14ac:dyDescent="0.25">
      <c r="A103" s="54"/>
      <c r="B103" s="54"/>
    </row>
  </sheetData>
  <hyperlinks>
    <hyperlink ref="A1" r:id="rId1" display="https://sevaarth.mahakosh.gov.in/hrms.htm?actionFlag=generatePayslip&amp;printOrNot=No&amp;selMonth=3&amp;selYear=2020&amp;selBill=99201612020&amp;employeeid=-1&amp;dsgnId=-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selection activeCell="A2" sqref="A2"/>
    </sheetView>
  </sheetViews>
  <sheetFormatPr defaultRowHeight="15" x14ac:dyDescent="0.25"/>
  <cols>
    <col min="1" max="1" width="7.85546875" bestFit="1" customWidth="1"/>
    <col min="2" max="2" width="60.7109375" bestFit="1" customWidth="1"/>
    <col min="3" max="3" width="20.28515625" bestFit="1" customWidth="1"/>
    <col min="4" max="4" width="60.7109375" bestFit="1" customWidth="1"/>
    <col min="5" max="5" width="20.28515625" bestFit="1" customWidth="1"/>
    <col min="6" max="6" width="4" bestFit="1" customWidth="1"/>
  </cols>
  <sheetData>
    <row r="1" spans="1:5" ht="37.5" customHeight="1" x14ac:dyDescent="0.25">
      <c r="A1" s="45" t="s">
        <v>3</v>
      </c>
      <c r="B1" s="45" t="s">
        <v>81</v>
      </c>
      <c r="C1" s="45" t="s">
        <v>83</v>
      </c>
      <c r="D1" s="45" t="s">
        <v>80</v>
      </c>
    </row>
    <row r="2" spans="1:5" x14ac:dyDescent="0.25">
      <c r="A2" s="63">
        <v>44256</v>
      </c>
      <c r="D2">
        <f t="array" ref="D2">IFERROR(INDEX(B2:B24,MATCH(0,COUNTIF($D$1:D1,B2:B24),0)),"")</f>
        <v>0</v>
      </c>
      <c r="E2" t="e">
        <f>+INDEX($B$2:$C$1500,MATCH(D2,$B$2:$B$1500,0),2)</f>
        <v>#N/A</v>
      </c>
    </row>
    <row r="3" spans="1:5" x14ac:dyDescent="0.25">
      <c r="A3" s="63">
        <v>44256</v>
      </c>
      <c r="D3" t="str">
        <f t="array" ref="D3">IFERROR(INDEX(B3:B25,MATCH(0,COUNTIF($D$1:D2,B3:B25),0)),"")</f>
        <v/>
      </c>
      <c r="E3" t="e">
        <f t="shared" ref="E3:E66" si="0">+INDEX($B$2:$C$1500,MATCH(D3,$B$2:$B$1500,0),2)</f>
        <v>#N/A</v>
      </c>
    </row>
    <row r="4" spans="1:5" x14ac:dyDescent="0.25">
      <c r="A4" s="63">
        <v>44256</v>
      </c>
      <c r="D4" t="str">
        <f t="array" ref="D4">IFERROR(INDEX(B4:B26,MATCH(0,COUNTIF($D$1:D3,B4:B26),0)),"")</f>
        <v/>
      </c>
      <c r="E4" t="e">
        <f t="shared" si="0"/>
        <v>#N/A</v>
      </c>
    </row>
    <row r="5" spans="1:5" x14ac:dyDescent="0.25">
      <c r="A5" s="63">
        <v>44256</v>
      </c>
      <c r="D5" t="str">
        <f t="array" ref="D5">IFERROR(INDEX(B5:B27,MATCH(0,COUNTIF($D$1:D4,B5:B27),0)),"")</f>
        <v/>
      </c>
      <c r="E5" t="e">
        <f t="shared" si="0"/>
        <v>#N/A</v>
      </c>
    </row>
    <row r="6" spans="1:5" x14ac:dyDescent="0.25">
      <c r="A6" s="63">
        <v>44256</v>
      </c>
      <c r="D6" t="str">
        <f t="array" ref="D6">IFERROR(INDEX(B6:B28,MATCH(0,COUNTIF($D$1:D5,B6:B28),0)),"")</f>
        <v/>
      </c>
      <c r="E6" t="e">
        <f t="shared" si="0"/>
        <v>#N/A</v>
      </c>
    </row>
    <row r="7" spans="1:5" x14ac:dyDescent="0.25">
      <c r="A7" s="63">
        <v>44256</v>
      </c>
      <c r="D7" t="str">
        <f t="array" ref="D7">IFERROR(INDEX(B7:B29,MATCH(0,COUNTIF($D$1:D6,B7:B29),0)),"")</f>
        <v/>
      </c>
      <c r="E7" t="e">
        <f t="shared" si="0"/>
        <v>#N/A</v>
      </c>
    </row>
    <row r="8" spans="1:5" x14ac:dyDescent="0.25">
      <c r="A8" s="63">
        <v>44256</v>
      </c>
      <c r="D8" t="str">
        <f t="array" ref="D8">IFERROR(INDEX(B8:B30,MATCH(0,COUNTIF($D$1:D7,B8:B30),0)),"")</f>
        <v/>
      </c>
      <c r="E8" t="e">
        <f t="shared" si="0"/>
        <v>#N/A</v>
      </c>
    </row>
    <row r="9" spans="1:5" x14ac:dyDescent="0.25">
      <c r="A9" s="63">
        <v>44256</v>
      </c>
      <c r="D9" t="str">
        <f t="array" ref="D9">IFERROR(INDEX(B9:B31,MATCH(0,COUNTIF($D$1:D8,B9:B31),0)),"")</f>
        <v/>
      </c>
      <c r="E9" t="e">
        <f t="shared" si="0"/>
        <v>#N/A</v>
      </c>
    </row>
    <row r="10" spans="1:5" x14ac:dyDescent="0.25">
      <c r="A10" s="63">
        <v>44256</v>
      </c>
      <c r="D10" t="str">
        <f t="array" ref="D10">IFERROR(INDEX(B10:B32,MATCH(0,COUNTIF($D$1:D9,B10:B32),0)),"")</f>
        <v/>
      </c>
      <c r="E10" t="e">
        <f t="shared" si="0"/>
        <v>#N/A</v>
      </c>
    </row>
    <row r="11" spans="1:5" x14ac:dyDescent="0.25">
      <c r="A11" s="63"/>
      <c r="D11" t="str">
        <f t="array" ref="D11">IFERROR(INDEX(B11:B33,MATCH(0,COUNTIF($D$1:D10,B11:B33),0)),"")</f>
        <v/>
      </c>
      <c r="E11" t="e">
        <f t="shared" si="0"/>
        <v>#N/A</v>
      </c>
    </row>
    <row r="12" spans="1:5" x14ac:dyDescent="0.25">
      <c r="D12" t="str">
        <f t="array" ref="D12">IFERROR(INDEX(B12:B34,MATCH(0,COUNTIF($D$1:D11,B12:B34),0)),"")</f>
        <v/>
      </c>
      <c r="E12" t="e">
        <f t="shared" si="0"/>
        <v>#N/A</v>
      </c>
    </row>
    <row r="13" spans="1:5" x14ac:dyDescent="0.25">
      <c r="A13" s="63"/>
      <c r="D13" t="str">
        <f t="array" ref="D13">IFERROR(INDEX(B13:B35,MATCH(0,COUNTIF($D$1:D12,B13:B35),0)),"")</f>
        <v/>
      </c>
      <c r="E13" t="e">
        <f t="shared" si="0"/>
        <v>#N/A</v>
      </c>
    </row>
    <row r="14" spans="1:5" x14ac:dyDescent="0.25">
      <c r="A14" s="63"/>
      <c r="D14" t="str">
        <f t="array" ref="D14">IFERROR(INDEX(B14:B36,MATCH(0,COUNTIF($D$1:D13,B14:B36),0)),"")</f>
        <v/>
      </c>
      <c r="E14" t="e">
        <f t="shared" si="0"/>
        <v>#N/A</v>
      </c>
    </row>
    <row r="15" spans="1:5" x14ac:dyDescent="0.25">
      <c r="A15" s="63"/>
      <c r="D15" t="str">
        <f t="array" ref="D15">IFERROR(INDEX(B15:B37,MATCH(0,COUNTIF($D$1:D14,B15:B37),0)),"")</f>
        <v/>
      </c>
      <c r="E15" t="e">
        <f t="shared" si="0"/>
        <v>#N/A</v>
      </c>
    </row>
    <row r="16" spans="1:5" x14ac:dyDescent="0.25">
      <c r="A16" s="63"/>
      <c r="D16" t="str">
        <f t="array" ref="D16">IFERROR(INDEX(B16:B38,MATCH(0,COUNTIF($D$1:D15,B16:B38),0)),"")</f>
        <v/>
      </c>
      <c r="E16" t="e">
        <f t="shared" si="0"/>
        <v>#N/A</v>
      </c>
    </row>
    <row r="17" spans="1:5" x14ac:dyDescent="0.25">
      <c r="A17" s="63"/>
      <c r="D17" t="str">
        <f t="array" ref="D17">IFERROR(INDEX(B17:B39,MATCH(0,COUNTIF($D$1:D16,B17:B39),0)),"")</f>
        <v/>
      </c>
      <c r="E17" t="e">
        <f t="shared" si="0"/>
        <v>#N/A</v>
      </c>
    </row>
    <row r="18" spans="1:5" x14ac:dyDescent="0.25">
      <c r="A18" s="63"/>
      <c r="D18" t="str">
        <f t="array" ref="D18">IFERROR(INDEX(B18:B40,MATCH(0,COUNTIF($D$1:D17,B18:B40),0)),"")</f>
        <v/>
      </c>
      <c r="E18" t="e">
        <f t="shared" si="0"/>
        <v>#N/A</v>
      </c>
    </row>
    <row r="19" spans="1:5" x14ac:dyDescent="0.25">
      <c r="A19" s="63"/>
      <c r="D19" t="str">
        <f t="array" ref="D19">IFERROR(INDEX(B19:B41,MATCH(0,COUNTIF($D$1:D18,B19:B41),0)),"")</f>
        <v/>
      </c>
      <c r="E19" t="e">
        <f t="shared" si="0"/>
        <v>#N/A</v>
      </c>
    </row>
    <row r="20" spans="1:5" x14ac:dyDescent="0.25">
      <c r="A20" s="63"/>
      <c r="D20" t="str">
        <f t="array" ref="D20">IFERROR(INDEX(B20:B42,MATCH(0,COUNTIF($D$1:D19,B20:B42),0)),"")</f>
        <v/>
      </c>
      <c r="E20" t="e">
        <f t="shared" si="0"/>
        <v>#N/A</v>
      </c>
    </row>
    <row r="21" spans="1:5" x14ac:dyDescent="0.25">
      <c r="A21" s="63"/>
      <c r="D21" t="str">
        <f t="array" ref="D21">IFERROR(INDEX(B21:B43,MATCH(0,COUNTIF($D$1:D20,B21:B43),0)),"")</f>
        <v/>
      </c>
      <c r="E21" t="e">
        <f t="shared" si="0"/>
        <v>#N/A</v>
      </c>
    </row>
    <row r="22" spans="1:5" x14ac:dyDescent="0.25">
      <c r="A22" s="63"/>
      <c r="D22" t="str">
        <f t="array" ref="D22">IFERROR(INDEX(B22:B44,MATCH(0,COUNTIF($D$1:D21,B22:B44),0)),"")</f>
        <v/>
      </c>
      <c r="E22" t="e">
        <f t="shared" si="0"/>
        <v>#N/A</v>
      </c>
    </row>
    <row r="23" spans="1:5" x14ac:dyDescent="0.25">
      <c r="D23" t="str">
        <f t="array" ref="D23">IFERROR(INDEX(B23:B45,MATCH(0,COUNTIF($D$1:D22,B23:B45),0)),"")</f>
        <v/>
      </c>
      <c r="E23" t="e">
        <f t="shared" si="0"/>
        <v>#N/A</v>
      </c>
    </row>
    <row r="24" spans="1:5" x14ac:dyDescent="0.25">
      <c r="A24" s="63"/>
      <c r="D24" t="str">
        <f t="array" ref="D24">IFERROR(INDEX(B24:B46,MATCH(0,COUNTIF($D$1:D23,B24:B46),0)),"")</f>
        <v/>
      </c>
      <c r="E24" t="e">
        <f t="shared" si="0"/>
        <v>#N/A</v>
      </c>
    </row>
    <row r="25" spans="1:5" x14ac:dyDescent="0.25">
      <c r="A25" s="63"/>
      <c r="D25" t="str">
        <f t="array" ref="D25">IFERROR(INDEX(B25:B47,MATCH(0,COUNTIF($D$1:D24,B25:B47),0)),"")</f>
        <v/>
      </c>
      <c r="E25" t="e">
        <f t="shared" si="0"/>
        <v>#N/A</v>
      </c>
    </row>
    <row r="26" spans="1:5" x14ac:dyDescent="0.25">
      <c r="A26" s="63"/>
      <c r="D26" t="str">
        <f t="array" ref="D26">IFERROR(INDEX(B26:B48,MATCH(0,COUNTIF($D$1:D25,B26:B48),0)),"")</f>
        <v/>
      </c>
      <c r="E26" t="e">
        <f t="shared" si="0"/>
        <v>#N/A</v>
      </c>
    </row>
    <row r="27" spans="1:5" x14ac:dyDescent="0.25">
      <c r="A27" s="63"/>
      <c r="D27" t="str">
        <f t="array" ref="D27">IFERROR(INDEX(B27:B49,MATCH(0,COUNTIF($D$1:D26,B27:B49),0)),"")</f>
        <v/>
      </c>
      <c r="E27" t="e">
        <f t="shared" si="0"/>
        <v>#N/A</v>
      </c>
    </row>
    <row r="28" spans="1:5" x14ac:dyDescent="0.25">
      <c r="A28" s="63"/>
      <c r="D28" t="str">
        <f t="array" ref="D28">IFERROR(INDEX(B28:B50,MATCH(0,COUNTIF($D$1:D27,B28:B50),0)),"")</f>
        <v/>
      </c>
      <c r="E28" t="e">
        <f t="shared" si="0"/>
        <v>#N/A</v>
      </c>
    </row>
    <row r="29" spans="1:5" x14ac:dyDescent="0.25">
      <c r="A29" s="63"/>
      <c r="D29" t="str">
        <f t="array" ref="D29">IFERROR(INDEX(B29:B51,MATCH(0,COUNTIF($D$1:D28,B29:B51),0)),"")</f>
        <v/>
      </c>
      <c r="E29" t="e">
        <f t="shared" si="0"/>
        <v>#N/A</v>
      </c>
    </row>
    <row r="30" spans="1:5" x14ac:dyDescent="0.25">
      <c r="A30" s="63"/>
      <c r="D30" t="str">
        <f t="array" ref="D30">IFERROR(INDEX(B30:B52,MATCH(0,COUNTIF($D$1:D29,B30:B52),0)),"")</f>
        <v/>
      </c>
      <c r="E30" t="e">
        <f t="shared" si="0"/>
        <v>#N/A</v>
      </c>
    </row>
    <row r="31" spans="1:5" x14ac:dyDescent="0.25">
      <c r="A31" s="63"/>
      <c r="D31" t="str">
        <f t="array" ref="D31">IFERROR(INDEX(B31:B53,MATCH(0,COUNTIF($D$1:D30,B31:B53),0)),"")</f>
        <v/>
      </c>
      <c r="E31" t="e">
        <f t="shared" si="0"/>
        <v>#N/A</v>
      </c>
    </row>
    <row r="32" spans="1:5" x14ac:dyDescent="0.25">
      <c r="A32" s="63"/>
      <c r="D32" t="str">
        <f t="array" ref="D32">IFERROR(INDEX(B32:B54,MATCH(0,COUNTIF($D$1:D31,B32:B54),0)),"")</f>
        <v/>
      </c>
      <c r="E32" t="e">
        <f t="shared" si="0"/>
        <v>#N/A</v>
      </c>
    </row>
    <row r="33" spans="1:5" x14ac:dyDescent="0.25">
      <c r="A33" s="63"/>
      <c r="D33" t="str">
        <f t="array" ref="D33">IFERROR(INDEX(B33:B55,MATCH(0,COUNTIF($D$1:D32,B33:B55),0)),"")</f>
        <v/>
      </c>
      <c r="E33" t="e">
        <f t="shared" si="0"/>
        <v>#N/A</v>
      </c>
    </row>
    <row r="34" spans="1:5" x14ac:dyDescent="0.25">
      <c r="D34" t="str">
        <f t="array" ref="D34">IFERROR(INDEX(B34:B56,MATCH(0,COUNTIF($D$1:D33,B34:B56),0)),"")</f>
        <v/>
      </c>
      <c r="E34" t="e">
        <f t="shared" si="0"/>
        <v>#N/A</v>
      </c>
    </row>
    <row r="35" spans="1:5" x14ac:dyDescent="0.25">
      <c r="A35" s="63"/>
      <c r="D35" t="str">
        <f t="array" ref="D35">IFERROR(INDEX(B35:B57,MATCH(0,COUNTIF($D$1:D34,B35:B57),0)),"")</f>
        <v/>
      </c>
      <c r="E35" t="e">
        <f t="shared" si="0"/>
        <v>#N/A</v>
      </c>
    </row>
    <row r="36" spans="1:5" x14ac:dyDescent="0.25">
      <c r="A36" s="63"/>
      <c r="D36" t="str">
        <f t="array" ref="D36">IFERROR(INDEX(B36:B58,MATCH(0,COUNTIF($D$1:D35,B36:B58),0)),"")</f>
        <v/>
      </c>
      <c r="E36" t="e">
        <f t="shared" si="0"/>
        <v>#N/A</v>
      </c>
    </row>
    <row r="37" spans="1:5" x14ac:dyDescent="0.25">
      <c r="A37" s="63"/>
      <c r="D37" t="str">
        <f t="array" ref="D37">IFERROR(INDEX(B37:B59,MATCH(0,COUNTIF($D$1:D36,B37:B59),0)),"")</f>
        <v/>
      </c>
      <c r="E37" t="e">
        <f t="shared" si="0"/>
        <v>#N/A</v>
      </c>
    </row>
    <row r="38" spans="1:5" x14ac:dyDescent="0.25">
      <c r="A38" s="63"/>
      <c r="D38" t="str">
        <f t="array" ref="D38">IFERROR(INDEX(B38:B60,MATCH(0,COUNTIF($D$1:D37,B38:B60),0)),"")</f>
        <v/>
      </c>
      <c r="E38" t="e">
        <f t="shared" si="0"/>
        <v>#N/A</v>
      </c>
    </row>
    <row r="39" spans="1:5" x14ac:dyDescent="0.25">
      <c r="A39" s="63"/>
      <c r="D39" t="str">
        <f t="array" ref="D39">IFERROR(INDEX(B39:B61,MATCH(0,COUNTIF($D$1:D38,B39:B61),0)),"")</f>
        <v/>
      </c>
      <c r="E39" t="e">
        <f t="shared" si="0"/>
        <v>#N/A</v>
      </c>
    </row>
    <row r="40" spans="1:5" x14ac:dyDescent="0.25">
      <c r="A40" s="63"/>
      <c r="D40" t="str">
        <f t="array" ref="D40">IFERROR(INDEX(B40:B62,MATCH(0,COUNTIF($D$1:D39,B40:B62),0)),"")</f>
        <v/>
      </c>
      <c r="E40" t="e">
        <f t="shared" si="0"/>
        <v>#N/A</v>
      </c>
    </row>
    <row r="41" spans="1:5" x14ac:dyDescent="0.25">
      <c r="A41" s="63"/>
      <c r="D41" t="str">
        <f t="array" ref="D41">IFERROR(INDEX(B41:B63,MATCH(0,COUNTIF($D$1:D40,B41:B63),0)),"")</f>
        <v/>
      </c>
      <c r="E41" t="e">
        <f t="shared" si="0"/>
        <v>#N/A</v>
      </c>
    </row>
    <row r="42" spans="1:5" x14ac:dyDescent="0.25">
      <c r="A42" s="63"/>
      <c r="D42" t="str">
        <f t="array" ref="D42">IFERROR(INDEX(B42:B64,MATCH(0,COUNTIF($D$1:D41,B42:B64),0)),"")</f>
        <v/>
      </c>
      <c r="E42" t="e">
        <f t="shared" si="0"/>
        <v>#N/A</v>
      </c>
    </row>
    <row r="43" spans="1:5" x14ac:dyDescent="0.25">
      <c r="A43" s="63"/>
      <c r="D43" t="str">
        <f t="array" ref="D43">IFERROR(INDEX(B43:B65,MATCH(0,COUNTIF($D$1:D42,B43:B65),0)),"")</f>
        <v/>
      </c>
      <c r="E43" t="e">
        <f t="shared" si="0"/>
        <v>#N/A</v>
      </c>
    </row>
    <row r="44" spans="1:5" x14ac:dyDescent="0.25">
      <c r="D44" t="str">
        <f t="array" ref="D44">IFERROR(INDEX(B44:B66,MATCH(0,COUNTIF($D$1:D43,B44:B66),0)),"")</f>
        <v/>
      </c>
      <c r="E44" t="e">
        <f t="shared" si="0"/>
        <v>#N/A</v>
      </c>
    </row>
    <row r="45" spans="1:5" x14ac:dyDescent="0.25">
      <c r="A45" s="63"/>
      <c r="D45" t="str">
        <f t="array" ref="D45">IFERROR(INDEX(B45:B67,MATCH(0,COUNTIF($D$1:D44,B45:B67),0)),"")</f>
        <v/>
      </c>
      <c r="E45" t="e">
        <f t="shared" si="0"/>
        <v>#N/A</v>
      </c>
    </row>
    <row r="46" spans="1:5" x14ac:dyDescent="0.25">
      <c r="A46" s="63"/>
      <c r="D46" t="str">
        <f t="array" ref="D46">IFERROR(INDEX(B46:B68,MATCH(0,COUNTIF($D$1:D45,B46:B68),0)),"")</f>
        <v/>
      </c>
      <c r="E46" t="e">
        <f t="shared" si="0"/>
        <v>#N/A</v>
      </c>
    </row>
    <row r="47" spans="1:5" x14ac:dyDescent="0.25">
      <c r="A47" s="63"/>
      <c r="D47" t="str">
        <f t="array" ref="D47">IFERROR(INDEX(B47:B69,MATCH(0,COUNTIF($D$1:D46,B47:B69),0)),"")</f>
        <v/>
      </c>
      <c r="E47" t="e">
        <f t="shared" si="0"/>
        <v>#N/A</v>
      </c>
    </row>
    <row r="48" spans="1:5" x14ac:dyDescent="0.25">
      <c r="A48" s="63"/>
      <c r="D48" t="str">
        <f t="array" ref="D48">IFERROR(INDEX(B48:B70,MATCH(0,COUNTIF($D$1:D47,B48:B70),0)),"")</f>
        <v/>
      </c>
      <c r="E48" t="e">
        <f t="shared" si="0"/>
        <v>#N/A</v>
      </c>
    </row>
    <row r="49" spans="1:5" x14ac:dyDescent="0.25">
      <c r="A49" s="63"/>
      <c r="D49" t="str">
        <f t="array" ref="D49">IFERROR(INDEX(B49:B71,MATCH(0,COUNTIF($D$1:D48,B49:B71),0)),"")</f>
        <v/>
      </c>
      <c r="E49" t="e">
        <f t="shared" si="0"/>
        <v>#N/A</v>
      </c>
    </row>
    <row r="50" spans="1:5" x14ac:dyDescent="0.25">
      <c r="A50" s="63"/>
      <c r="D50" t="str">
        <f t="array" ref="D50">IFERROR(INDEX(B50:B72,MATCH(0,COUNTIF($D$1:D49,B50:B72),0)),"")</f>
        <v/>
      </c>
      <c r="E50" t="e">
        <f t="shared" si="0"/>
        <v>#N/A</v>
      </c>
    </row>
    <row r="51" spans="1:5" x14ac:dyDescent="0.25">
      <c r="A51" s="63"/>
      <c r="D51" t="str">
        <f t="array" ref="D51">IFERROR(INDEX(B51:B73,MATCH(0,COUNTIF($D$1:D50,B51:B73),0)),"")</f>
        <v/>
      </c>
      <c r="E51" t="e">
        <f t="shared" si="0"/>
        <v>#N/A</v>
      </c>
    </row>
    <row r="52" spans="1:5" x14ac:dyDescent="0.25">
      <c r="A52" s="63"/>
      <c r="D52" t="str">
        <f t="array" ref="D52">IFERROR(INDEX(B52:B74,MATCH(0,COUNTIF($D$1:D51,B52:B74),0)),"")</f>
        <v/>
      </c>
      <c r="E52" t="e">
        <f t="shared" si="0"/>
        <v>#N/A</v>
      </c>
    </row>
    <row r="53" spans="1:5" x14ac:dyDescent="0.25">
      <c r="A53" s="63"/>
      <c r="D53" t="str">
        <f t="array" ref="D53">IFERROR(INDEX(B53:B75,MATCH(0,COUNTIF($D$1:D52,B53:B75),0)),"")</f>
        <v/>
      </c>
      <c r="E53" t="e">
        <f t="shared" si="0"/>
        <v>#N/A</v>
      </c>
    </row>
    <row r="54" spans="1:5" x14ac:dyDescent="0.25">
      <c r="D54" t="str">
        <f t="array" ref="D54">IFERROR(INDEX(B54:B76,MATCH(0,COUNTIF($D$1:D53,B54:B76),0)),"")</f>
        <v/>
      </c>
      <c r="E54" t="e">
        <f t="shared" si="0"/>
        <v>#N/A</v>
      </c>
    </row>
    <row r="55" spans="1:5" x14ac:dyDescent="0.25">
      <c r="A55" s="63"/>
      <c r="D55" t="str">
        <f t="array" ref="D55">IFERROR(INDEX(B55:B77,MATCH(0,COUNTIF($D$1:D54,B55:B77),0)),"")</f>
        <v/>
      </c>
      <c r="E55" t="e">
        <f t="shared" si="0"/>
        <v>#N/A</v>
      </c>
    </row>
    <row r="56" spans="1:5" x14ac:dyDescent="0.25">
      <c r="A56" s="63"/>
      <c r="D56" t="str">
        <f t="array" ref="D56">IFERROR(INDEX(B56:B78,MATCH(0,COUNTIF($D$1:D55,B56:B78),0)),"")</f>
        <v/>
      </c>
      <c r="E56" t="e">
        <f t="shared" si="0"/>
        <v>#N/A</v>
      </c>
    </row>
    <row r="57" spans="1:5" x14ac:dyDescent="0.25">
      <c r="A57" s="63"/>
      <c r="D57" t="str">
        <f t="array" ref="D57">IFERROR(INDEX(B57:B79,MATCH(0,COUNTIF($D$1:D56,B57:B79),0)),"")</f>
        <v/>
      </c>
      <c r="E57" t="e">
        <f t="shared" si="0"/>
        <v>#N/A</v>
      </c>
    </row>
    <row r="58" spans="1:5" x14ac:dyDescent="0.25">
      <c r="A58" s="63"/>
      <c r="D58" t="str">
        <f t="array" ref="D58">IFERROR(INDEX(B58:B80,MATCH(0,COUNTIF($D$1:D57,B58:B80),0)),"")</f>
        <v/>
      </c>
      <c r="E58" t="e">
        <f t="shared" si="0"/>
        <v>#N/A</v>
      </c>
    </row>
    <row r="59" spans="1:5" x14ac:dyDescent="0.25">
      <c r="A59" s="63"/>
      <c r="D59" t="str">
        <f t="array" ref="D59">IFERROR(INDEX(B59:B81,MATCH(0,COUNTIF($D$1:D58,B59:B81),0)),"")</f>
        <v/>
      </c>
      <c r="E59" t="e">
        <f t="shared" si="0"/>
        <v>#N/A</v>
      </c>
    </row>
    <row r="60" spans="1:5" x14ac:dyDescent="0.25">
      <c r="A60" s="63"/>
      <c r="D60" t="str">
        <f t="array" ref="D60">IFERROR(INDEX(B60:B82,MATCH(0,COUNTIF($D$1:D59,B60:B82),0)),"")</f>
        <v/>
      </c>
      <c r="E60" t="e">
        <f t="shared" si="0"/>
        <v>#N/A</v>
      </c>
    </row>
    <row r="61" spans="1:5" x14ac:dyDescent="0.25">
      <c r="A61" s="63"/>
      <c r="D61" t="str">
        <f t="array" ref="D61">IFERROR(INDEX(B61:B83,MATCH(0,COUNTIF($D$1:D60,B61:B83),0)),"")</f>
        <v/>
      </c>
      <c r="E61" t="e">
        <f t="shared" si="0"/>
        <v>#N/A</v>
      </c>
    </row>
    <row r="62" spans="1:5" x14ac:dyDescent="0.25">
      <c r="A62" s="63"/>
      <c r="D62" t="str">
        <f t="array" ref="D62">IFERROR(INDEX(B62:B84,MATCH(0,COUNTIF($D$1:D61,B62:B84),0)),"")</f>
        <v/>
      </c>
      <c r="E62" t="e">
        <f t="shared" si="0"/>
        <v>#N/A</v>
      </c>
    </row>
    <row r="63" spans="1:5" x14ac:dyDescent="0.25">
      <c r="A63" s="63"/>
      <c r="D63" t="str">
        <f t="array" ref="D63">IFERROR(INDEX(B63:B85,MATCH(0,COUNTIF($D$1:D62,B63:B85),0)),"")</f>
        <v/>
      </c>
      <c r="E63" t="e">
        <f t="shared" si="0"/>
        <v>#N/A</v>
      </c>
    </row>
    <row r="64" spans="1:5" x14ac:dyDescent="0.25">
      <c r="D64" t="str">
        <f t="array" ref="D64">IFERROR(INDEX(B64:B86,MATCH(0,COUNTIF($D$1:D63,B64:B86),0)),"")</f>
        <v/>
      </c>
      <c r="E64" t="e">
        <f t="shared" si="0"/>
        <v>#N/A</v>
      </c>
    </row>
    <row r="65" spans="4:5" x14ac:dyDescent="0.25">
      <c r="D65" t="str">
        <f t="array" ref="D65">IFERROR(INDEX(B65:B87,MATCH(0,COUNTIF($D$1:D64,B65:B87),0)),"")</f>
        <v/>
      </c>
      <c r="E65" t="e">
        <f t="shared" si="0"/>
        <v>#N/A</v>
      </c>
    </row>
    <row r="66" spans="4:5" x14ac:dyDescent="0.25">
      <c r="D66" t="str">
        <f t="array" ref="D66">IFERROR(INDEX(B66:B88,MATCH(0,COUNTIF($D$1:D65,B66:B88),0)),"")</f>
        <v/>
      </c>
      <c r="E66" t="e">
        <f t="shared" si="0"/>
        <v>#N/A</v>
      </c>
    </row>
    <row r="67" spans="4:5" x14ac:dyDescent="0.25">
      <c r="D67" t="str">
        <f t="array" ref="D67">IFERROR(INDEX(B67:B89,MATCH(0,COUNTIF($D$1:D66,B67:B89),0)),"")</f>
        <v/>
      </c>
      <c r="E67" t="e">
        <f t="shared" ref="E67:E130" si="1">+INDEX($B$2:$C$1500,MATCH(D67,$B$2:$B$1500,0),2)</f>
        <v>#N/A</v>
      </c>
    </row>
    <row r="68" spans="4:5" x14ac:dyDescent="0.25">
      <c r="D68" t="str">
        <f t="array" ref="D68">IFERROR(INDEX(B68:B90,MATCH(0,COUNTIF($D$1:D67,B68:B90),0)),"")</f>
        <v/>
      </c>
      <c r="E68" t="e">
        <f t="shared" si="1"/>
        <v>#N/A</v>
      </c>
    </row>
    <row r="69" spans="4:5" x14ac:dyDescent="0.25">
      <c r="D69" t="str">
        <f t="array" ref="D69">IFERROR(INDEX(B69:B91,MATCH(0,COUNTIF($D$1:D68,B69:B91),0)),"")</f>
        <v/>
      </c>
      <c r="E69" t="e">
        <f t="shared" si="1"/>
        <v>#N/A</v>
      </c>
    </row>
    <row r="70" spans="4:5" x14ac:dyDescent="0.25">
      <c r="D70" t="str">
        <f t="array" ref="D70">IFERROR(INDEX(B70:B92,MATCH(0,COUNTIF($D$1:D69,B70:B92),0)),"")</f>
        <v/>
      </c>
      <c r="E70" t="e">
        <f t="shared" si="1"/>
        <v>#N/A</v>
      </c>
    </row>
    <row r="71" spans="4:5" x14ac:dyDescent="0.25">
      <c r="D71" t="str">
        <f t="array" ref="D71">IFERROR(INDEX(B71:B93,MATCH(0,COUNTIF($D$1:D70,B71:B93),0)),"")</f>
        <v/>
      </c>
      <c r="E71" t="e">
        <f t="shared" si="1"/>
        <v>#N/A</v>
      </c>
    </row>
    <row r="72" spans="4:5" x14ac:dyDescent="0.25">
      <c r="D72" t="str">
        <f t="array" ref="D72">IFERROR(INDEX(B72:B94,MATCH(0,COUNTIF($D$1:D71,B72:B94),0)),"")</f>
        <v/>
      </c>
      <c r="E72" t="e">
        <f t="shared" si="1"/>
        <v>#N/A</v>
      </c>
    </row>
    <row r="73" spans="4:5" x14ac:dyDescent="0.25">
      <c r="D73" t="str">
        <f t="array" ref="D73">IFERROR(INDEX(B73:B95,MATCH(0,COUNTIF($D$1:D72,B73:B95),0)),"")</f>
        <v/>
      </c>
      <c r="E73" t="e">
        <f t="shared" si="1"/>
        <v>#N/A</v>
      </c>
    </row>
    <row r="74" spans="4:5" x14ac:dyDescent="0.25">
      <c r="D74" t="str">
        <f t="array" ref="D74">IFERROR(INDEX(B74:B96,MATCH(0,COUNTIF($D$1:D73,B74:B96),0)),"")</f>
        <v/>
      </c>
      <c r="E74" t="e">
        <f t="shared" si="1"/>
        <v>#N/A</v>
      </c>
    </row>
    <row r="75" spans="4:5" x14ac:dyDescent="0.25">
      <c r="D75" t="str">
        <f t="array" ref="D75">IFERROR(INDEX(B75:B97,MATCH(0,COUNTIF($D$1:D74,B75:B97),0)),"")</f>
        <v/>
      </c>
      <c r="E75" t="e">
        <f t="shared" si="1"/>
        <v>#N/A</v>
      </c>
    </row>
    <row r="76" spans="4:5" x14ac:dyDescent="0.25">
      <c r="D76" t="str">
        <f t="array" ref="D76">IFERROR(INDEX(B76:B98,MATCH(0,COUNTIF($D$1:D75,B76:B98),0)),"")</f>
        <v/>
      </c>
      <c r="E76" t="e">
        <f t="shared" si="1"/>
        <v>#N/A</v>
      </c>
    </row>
    <row r="77" spans="4:5" x14ac:dyDescent="0.25">
      <c r="D77" t="str">
        <f t="array" ref="D77">IFERROR(INDEX(B77:B99,MATCH(0,COUNTIF($D$1:D76,B77:B99),0)),"")</f>
        <v/>
      </c>
      <c r="E77" t="e">
        <f t="shared" si="1"/>
        <v>#N/A</v>
      </c>
    </row>
    <row r="78" spans="4:5" x14ac:dyDescent="0.25">
      <c r="D78" t="str">
        <f t="array" ref="D78">IFERROR(INDEX(B78:B100,MATCH(0,COUNTIF($D$1:D77,B78:B100),0)),"")</f>
        <v/>
      </c>
      <c r="E78" t="e">
        <f t="shared" si="1"/>
        <v>#N/A</v>
      </c>
    </row>
    <row r="79" spans="4:5" x14ac:dyDescent="0.25">
      <c r="D79" t="str">
        <f t="array" ref="D79">IFERROR(INDEX(B79:B101,MATCH(0,COUNTIF($D$1:D78,B79:B101),0)),"")</f>
        <v/>
      </c>
      <c r="E79" t="e">
        <f t="shared" si="1"/>
        <v>#N/A</v>
      </c>
    </row>
    <row r="80" spans="4:5" x14ac:dyDescent="0.25">
      <c r="D80" t="str">
        <f t="array" ref="D80">IFERROR(INDEX(B80:B102,MATCH(0,COUNTIF($D$1:D79,B80:B102),0)),"")</f>
        <v/>
      </c>
      <c r="E80" t="e">
        <f t="shared" si="1"/>
        <v>#N/A</v>
      </c>
    </row>
    <row r="81" spans="4:5" x14ac:dyDescent="0.25">
      <c r="D81" t="str">
        <f t="array" ref="D81">IFERROR(INDEX(B81:B103,MATCH(0,COUNTIF($D$1:D80,B81:B103),0)),"")</f>
        <v/>
      </c>
      <c r="E81" t="e">
        <f t="shared" si="1"/>
        <v>#N/A</v>
      </c>
    </row>
    <row r="82" spans="4:5" x14ac:dyDescent="0.25">
      <c r="D82" t="str">
        <f t="array" ref="D82">IFERROR(INDEX(B82:B104,MATCH(0,COUNTIF($D$1:D81,B82:B104),0)),"")</f>
        <v/>
      </c>
      <c r="E82" t="e">
        <f t="shared" si="1"/>
        <v>#N/A</v>
      </c>
    </row>
    <row r="83" spans="4:5" x14ac:dyDescent="0.25">
      <c r="D83" t="str">
        <f t="array" ref="D83">IFERROR(INDEX(B83:B105,MATCH(0,COUNTIF($D$1:D82,B83:B105),0)),"")</f>
        <v/>
      </c>
      <c r="E83" t="e">
        <f t="shared" si="1"/>
        <v>#N/A</v>
      </c>
    </row>
    <row r="84" spans="4:5" x14ac:dyDescent="0.25">
      <c r="D84" t="str">
        <f t="array" ref="D84">IFERROR(INDEX(B84:B106,MATCH(0,COUNTIF($D$1:D83,B84:B106),0)),"")</f>
        <v/>
      </c>
      <c r="E84" t="e">
        <f t="shared" si="1"/>
        <v>#N/A</v>
      </c>
    </row>
    <row r="85" spans="4:5" x14ac:dyDescent="0.25">
      <c r="D85" t="str">
        <f t="array" ref="D85">IFERROR(INDEX(B85:B107,MATCH(0,COUNTIF($D$1:D84,B85:B107),0)),"")</f>
        <v/>
      </c>
      <c r="E85" t="e">
        <f t="shared" si="1"/>
        <v>#N/A</v>
      </c>
    </row>
    <row r="86" spans="4:5" x14ac:dyDescent="0.25">
      <c r="D86" t="str">
        <f t="array" ref="D86">IFERROR(INDEX(B86:B108,MATCH(0,COUNTIF($D$1:D85,B86:B108),0)),"")</f>
        <v/>
      </c>
      <c r="E86" t="e">
        <f t="shared" si="1"/>
        <v>#N/A</v>
      </c>
    </row>
    <row r="87" spans="4:5" x14ac:dyDescent="0.25">
      <c r="D87" t="str">
        <f t="array" ref="D87">IFERROR(INDEX(B87:B109,MATCH(0,COUNTIF($D$1:D86,B87:B109),0)),"")</f>
        <v/>
      </c>
      <c r="E87" t="e">
        <f t="shared" si="1"/>
        <v>#N/A</v>
      </c>
    </row>
    <row r="88" spans="4:5" x14ac:dyDescent="0.25">
      <c r="D88" t="str">
        <f t="array" ref="D88">IFERROR(INDEX(B88:B110,MATCH(0,COUNTIF($D$1:D87,B88:B110),0)),"")</f>
        <v/>
      </c>
      <c r="E88" t="e">
        <f t="shared" si="1"/>
        <v>#N/A</v>
      </c>
    </row>
    <row r="89" spans="4:5" x14ac:dyDescent="0.25">
      <c r="D89" t="str">
        <f t="array" ref="D89">IFERROR(INDEX(B89:B111,MATCH(0,COUNTIF($D$1:D88,B89:B111),0)),"")</f>
        <v/>
      </c>
      <c r="E89" t="e">
        <f t="shared" si="1"/>
        <v>#N/A</v>
      </c>
    </row>
    <row r="90" spans="4:5" x14ac:dyDescent="0.25">
      <c r="D90" t="str">
        <f t="array" ref="D90">IFERROR(INDEX(B90:B112,MATCH(0,COUNTIF($D$1:D89,B90:B112),0)),"")</f>
        <v/>
      </c>
      <c r="E90" t="e">
        <f t="shared" si="1"/>
        <v>#N/A</v>
      </c>
    </row>
    <row r="91" spans="4:5" x14ac:dyDescent="0.25">
      <c r="D91" t="str">
        <f t="array" ref="D91">IFERROR(INDEX(B91:B113,MATCH(0,COUNTIF($D$1:D90,B91:B113),0)),"")</f>
        <v/>
      </c>
      <c r="E91" t="e">
        <f t="shared" si="1"/>
        <v>#N/A</v>
      </c>
    </row>
    <row r="92" spans="4:5" x14ac:dyDescent="0.25">
      <c r="D92" t="str">
        <f t="array" ref="D92">IFERROR(INDEX(B92:B114,MATCH(0,COUNTIF($D$1:D91,B92:B114),0)),"")</f>
        <v/>
      </c>
      <c r="E92" t="e">
        <f t="shared" si="1"/>
        <v>#N/A</v>
      </c>
    </row>
    <row r="93" spans="4:5" x14ac:dyDescent="0.25">
      <c r="D93" t="str">
        <f t="array" ref="D93">IFERROR(INDEX(B93:B115,MATCH(0,COUNTIF($D$1:D92,B93:B115),0)),"")</f>
        <v/>
      </c>
      <c r="E93" t="e">
        <f t="shared" si="1"/>
        <v>#N/A</v>
      </c>
    </row>
    <row r="94" spans="4:5" x14ac:dyDescent="0.25">
      <c r="D94" t="str">
        <f t="array" ref="D94">IFERROR(INDEX(B94:B116,MATCH(0,COUNTIF($D$1:D93,B94:B116),0)),"")</f>
        <v/>
      </c>
      <c r="E94" t="e">
        <f t="shared" si="1"/>
        <v>#N/A</v>
      </c>
    </row>
    <row r="95" spans="4:5" x14ac:dyDescent="0.25">
      <c r="D95" t="str">
        <f t="array" ref="D95">IFERROR(INDEX(B95:B117,MATCH(0,COUNTIF($D$1:D94,B95:B117),0)),"")</f>
        <v/>
      </c>
      <c r="E95" t="e">
        <f t="shared" si="1"/>
        <v>#N/A</v>
      </c>
    </row>
    <row r="96" spans="4:5" x14ac:dyDescent="0.25">
      <c r="D96" t="str">
        <f t="array" ref="D96">IFERROR(INDEX(B96:B118,MATCH(0,COUNTIF($D$1:D95,B96:B118),0)),"")</f>
        <v/>
      </c>
      <c r="E96" t="e">
        <f t="shared" si="1"/>
        <v>#N/A</v>
      </c>
    </row>
    <row r="97" spans="4:5" x14ac:dyDescent="0.25">
      <c r="D97" t="str">
        <f t="array" ref="D97">IFERROR(INDEX(B97:B119,MATCH(0,COUNTIF($D$1:D96,B97:B119),0)),"")</f>
        <v/>
      </c>
      <c r="E97" t="e">
        <f t="shared" si="1"/>
        <v>#N/A</v>
      </c>
    </row>
    <row r="98" spans="4:5" x14ac:dyDescent="0.25">
      <c r="D98" t="str">
        <f t="array" ref="D98">IFERROR(INDEX(B98:B120,MATCH(0,COUNTIF($D$1:D97,B98:B120),0)),"")</f>
        <v/>
      </c>
      <c r="E98" t="e">
        <f t="shared" si="1"/>
        <v>#N/A</v>
      </c>
    </row>
    <row r="99" spans="4:5" x14ac:dyDescent="0.25">
      <c r="D99" t="str">
        <f t="array" ref="D99">IFERROR(INDEX(B99:B121,MATCH(0,COUNTIF($D$1:D98,B99:B121),0)),"")</f>
        <v/>
      </c>
      <c r="E99" t="e">
        <f t="shared" si="1"/>
        <v>#N/A</v>
      </c>
    </row>
    <row r="100" spans="4:5" x14ac:dyDescent="0.25">
      <c r="D100" t="str">
        <f t="array" ref="D100">IFERROR(INDEX(B100:B122,MATCH(0,COUNTIF($D$1:D99,B100:B122),0)),"")</f>
        <v/>
      </c>
      <c r="E100" t="e">
        <f t="shared" si="1"/>
        <v>#N/A</v>
      </c>
    </row>
    <row r="101" spans="4:5" x14ac:dyDescent="0.25">
      <c r="D101" t="str">
        <f t="array" ref="D101">IFERROR(INDEX(B101:B123,MATCH(0,COUNTIF($D$1:D100,B101:B123),0)),"")</f>
        <v/>
      </c>
      <c r="E101" t="e">
        <f t="shared" si="1"/>
        <v>#N/A</v>
      </c>
    </row>
    <row r="102" spans="4:5" x14ac:dyDescent="0.25">
      <c r="D102" t="str">
        <f t="array" ref="D102">IFERROR(INDEX(B102:B124,MATCH(0,COUNTIF($D$1:D101,B102:B124),0)),"")</f>
        <v/>
      </c>
      <c r="E102" t="e">
        <f t="shared" si="1"/>
        <v>#N/A</v>
      </c>
    </row>
    <row r="103" spans="4:5" x14ac:dyDescent="0.25">
      <c r="D103" t="str">
        <f t="array" ref="D103">IFERROR(INDEX(B103:B125,MATCH(0,COUNTIF($D$1:D102,B103:B125),0)),"")</f>
        <v/>
      </c>
      <c r="E103" t="e">
        <f t="shared" si="1"/>
        <v>#N/A</v>
      </c>
    </row>
    <row r="104" spans="4:5" x14ac:dyDescent="0.25">
      <c r="D104" t="str">
        <f t="array" ref="D104">IFERROR(INDEX(B104:B126,MATCH(0,COUNTIF($D$1:D103,B104:B126),0)),"")</f>
        <v/>
      </c>
      <c r="E104" t="e">
        <f t="shared" si="1"/>
        <v>#N/A</v>
      </c>
    </row>
    <row r="105" spans="4:5" x14ac:dyDescent="0.25">
      <c r="D105" t="str">
        <f t="array" ref="D105">IFERROR(INDEX(B105:B127,MATCH(0,COUNTIF($D$1:D104,B105:B127),0)),"")</f>
        <v/>
      </c>
      <c r="E105" t="e">
        <f t="shared" si="1"/>
        <v>#N/A</v>
      </c>
    </row>
    <row r="106" spans="4:5" x14ac:dyDescent="0.25">
      <c r="D106" t="str">
        <f t="array" ref="D106">IFERROR(INDEX(B106:B128,MATCH(0,COUNTIF($D$1:D105,B106:B128),0)),"")</f>
        <v/>
      </c>
      <c r="E106" t="e">
        <f t="shared" si="1"/>
        <v>#N/A</v>
      </c>
    </row>
    <row r="107" spans="4:5" x14ac:dyDescent="0.25">
      <c r="D107" t="str">
        <f t="array" ref="D107">IFERROR(INDEX(B107:B129,MATCH(0,COUNTIF($D$1:D106,B107:B129),0)),"")</f>
        <v/>
      </c>
      <c r="E107" t="e">
        <f t="shared" si="1"/>
        <v>#N/A</v>
      </c>
    </row>
    <row r="108" spans="4:5" x14ac:dyDescent="0.25">
      <c r="D108" t="str">
        <f t="array" ref="D108">IFERROR(INDEX(B108:B130,MATCH(0,COUNTIF($D$1:D107,B108:B130),0)),"")</f>
        <v/>
      </c>
      <c r="E108" t="e">
        <f t="shared" si="1"/>
        <v>#N/A</v>
      </c>
    </row>
    <row r="109" spans="4:5" x14ac:dyDescent="0.25">
      <c r="D109" t="str">
        <f t="array" ref="D109">IFERROR(INDEX(B109:B131,MATCH(0,COUNTIF($D$1:D108,B109:B131),0)),"")</f>
        <v/>
      </c>
      <c r="E109" t="e">
        <f t="shared" si="1"/>
        <v>#N/A</v>
      </c>
    </row>
    <row r="110" spans="4:5" x14ac:dyDescent="0.25">
      <c r="D110" t="str">
        <f t="array" ref="D110">IFERROR(INDEX(B110:B132,MATCH(0,COUNTIF($D$1:D109,B110:B132),0)),"")</f>
        <v/>
      </c>
      <c r="E110" t="e">
        <f t="shared" si="1"/>
        <v>#N/A</v>
      </c>
    </row>
    <row r="111" spans="4:5" x14ac:dyDescent="0.25">
      <c r="D111" t="str">
        <f t="array" ref="D111">IFERROR(INDEX(B111:B133,MATCH(0,COUNTIF($D$1:D110,B111:B133),0)),"")</f>
        <v/>
      </c>
      <c r="E111" t="e">
        <f t="shared" si="1"/>
        <v>#N/A</v>
      </c>
    </row>
    <row r="112" spans="4:5" x14ac:dyDescent="0.25">
      <c r="D112" t="str">
        <f t="array" ref="D112">IFERROR(INDEX(B112:B134,MATCH(0,COUNTIF($D$1:D111,B112:B134),0)),"")</f>
        <v/>
      </c>
      <c r="E112" t="e">
        <f t="shared" si="1"/>
        <v>#N/A</v>
      </c>
    </row>
    <row r="113" spans="4:5" x14ac:dyDescent="0.25">
      <c r="D113" t="str">
        <f t="array" ref="D113">IFERROR(INDEX(B113:B135,MATCH(0,COUNTIF($D$1:D112,B113:B135),0)),"")</f>
        <v/>
      </c>
      <c r="E113" t="e">
        <f t="shared" si="1"/>
        <v>#N/A</v>
      </c>
    </row>
    <row r="114" spans="4:5" x14ac:dyDescent="0.25">
      <c r="D114" t="str">
        <f t="array" ref="D114">IFERROR(INDEX(B114:B136,MATCH(0,COUNTIF($D$1:D113,B114:B136),0)),"")</f>
        <v/>
      </c>
      <c r="E114" t="e">
        <f t="shared" si="1"/>
        <v>#N/A</v>
      </c>
    </row>
    <row r="115" spans="4:5" x14ac:dyDescent="0.25">
      <c r="D115" t="str">
        <f t="array" ref="D115">IFERROR(INDEX(B115:B137,MATCH(0,COUNTIF($D$1:D114,B115:B137),0)),"")</f>
        <v/>
      </c>
      <c r="E115" t="e">
        <f t="shared" si="1"/>
        <v>#N/A</v>
      </c>
    </row>
    <row r="116" spans="4:5" x14ac:dyDescent="0.25">
      <c r="D116" t="str">
        <f t="array" ref="D116">IFERROR(INDEX(B116:B138,MATCH(0,COUNTIF($D$1:D115,B116:B138),0)),"")</f>
        <v/>
      </c>
      <c r="E116" t="e">
        <f t="shared" si="1"/>
        <v>#N/A</v>
      </c>
    </row>
    <row r="117" spans="4:5" x14ac:dyDescent="0.25">
      <c r="D117" t="str">
        <f t="array" ref="D117">IFERROR(INDEX(B117:B139,MATCH(0,COUNTIF($D$1:D116,B117:B139),0)),"")</f>
        <v/>
      </c>
      <c r="E117" t="e">
        <f t="shared" si="1"/>
        <v>#N/A</v>
      </c>
    </row>
    <row r="118" spans="4:5" x14ac:dyDescent="0.25">
      <c r="D118" t="str">
        <f t="array" ref="D118">IFERROR(INDEX(B118:B140,MATCH(0,COUNTIF($D$1:D117,B118:B140),0)),"")</f>
        <v/>
      </c>
      <c r="E118" t="e">
        <f t="shared" si="1"/>
        <v>#N/A</v>
      </c>
    </row>
    <row r="119" spans="4:5" x14ac:dyDescent="0.25">
      <c r="D119" t="str">
        <f t="array" ref="D119">IFERROR(INDEX(B119:B141,MATCH(0,COUNTIF($D$1:D118,B119:B141),0)),"")</f>
        <v/>
      </c>
      <c r="E119" t="e">
        <f t="shared" si="1"/>
        <v>#N/A</v>
      </c>
    </row>
    <row r="120" spans="4:5" x14ac:dyDescent="0.25">
      <c r="D120" t="str">
        <f t="array" ref="D120">IFERROR(INDEX(B120:B142,MATCH(0,COUNTIF($D$1:D119,B120:B142),0)),"")</f>
        <v/>
      </c>
      <c r="E120" t="e">
        <f t="shared" si="1"/>
        <v>#N/A</v>
      </c>
    </row>
    <row r="121" spans="4:5" x14ac:dyDescent="0.25">
      <c r="D121" t="str">
        <f t="array" ref="D121">IFERROR(INDEX(B121:B143,MATCH(0,COUNTIF($D$1:D120,B121:B143),0)),"")</f>
        <v/>
      </c>
      <c r="E121" t="e">
        <f t="shared" si="1"/>
        <v>#N/A</v>
      </c>
    </row>
    <row r="122" spans="4:5" x14ac:dyDescent="0.25">
      <c r="D122" t="str">
        <f t="array" ref="D122">IFERROR(INDEX(B122:B144,MATCH(0,COUNTIF($D$1:D121,B122:B144),0)),"")</f>
        <v/>
      </c>
      <c r="E122" t="e">
        <f t="shared" si="1"/>
        <v>#N/A</v>
      </c>
    </row>
    <row r="123" spans="4:5" x14ac:dyDescent="0.25">
      <c r="D123" t="str">
        <f t="array" ref="D123">IFERROR(INDEX(B123:B145,MATCH(0,COUNTIF($D$1:D122,B123:B145),0)),"")</f>
        <v/>
      </c>
      <c r="E123" t="e">
        <f t="shared" si="1"/>
        <v>#N/A</v>
      </c>
    </row>
    <row r="124" spans="4:5" x14ac:dyDescent="0.25">
      <c r="D124" t="str">
        <f t="array" ref="D124">IFERROR(INDEX(B124:B146,MATCH(0,COUNTIF($D$1:D123,B124:B146),0)),"")</f>
        <v/>
      </c>
      <c r="E124" t="e">
        <f t="shared" si="1"/>
        <v>#N/A</v>
      </c>
    </row>
    <row r="125" spans="4:5" x14ac:dyDescent="0.25">
      <c r="D125" t="str">
        <f t="array" ref="D125">IFERROR(INDEX(B125:B147,MATCH(0,COUNTIF($D$1:D124,B125:B147),0)),"")</f>
        <v/>
      </c>
      <c r="E125" t="e">
        <f t="shared" si="1"/>
        <v>#N/A</v>
      </c>
    </row>
    <row r="126" spans="4:5" x14ac:dyDescent="0.25">
      <c r="D126" t="str">
        <f t="array" ref="D126">IFERROR(INDEX(B126:B148,MATCH(0,COUNTIF($D$1:D125,B126:B148),0)),"")</f>
        <v/>
      </c>
      <c r="E126" t="e">
        <f t="shared" si="1"/>
        <v>#N/A</v>
      </c>
    </row>
    <row r="127" spans="4:5" x14ac:dyDescent="0.25">
      <c r="D127" t="str">
        <f t="array" ref="D127">IFERROR(INDEX(B127:B149,MATCH(0,COUNTIF($D$1:D126,B127:B149),0)),"")</f>
        <v/>
      </c>
      <c r="E127" t="e">
        <f t="shared" si="1"/>
        <v>#N/A</v>
      </c>
    </row>
    <row r="128" spans="4:5" x14ac:dyDescent="0.25">
      <c r="D128" t="str">
        <f t="array" ref="D128">IFERROR(INDEX(B128:B150,MATCH(0,COUNTIF($D$1:D127,B128:B150),0)),"")</f>
        <v/>
      </c>
      <c r="E128" t="e">
        <f t="shared" si="1"/>
        <v>#N/A</v>
      </c>
    </row>
    <row r="129" spans="4:5" x14ac:dyDescent="0.25">
      <c r="D129" t="str">
        <f t="array" ref="D129">IFERROR(INDEX(B129:B151,MATCH(0,COUNTIF($D$1:D128,B129:B151),0)),"")</f>
        <v/>
      </c>
      <c r="E129" t="e">
        <f t="shared" si="1"/>
        <v>#N/A</v>
      </c>
    </row>
    <row r="130" spans="4:5" x14ac:dyDescent="0.25">
      <c r="D130" t="str">
        <f t="array" ref="D130">IFERROR(INDEX(B130:B152,MATCH(0,COUNTIF($D$1:D129,B130:B152),0)),"")</f>
        <v/>
      </c>
      <c r="E130" t="e">
        <f t="shared" si="1"/>
        <v>#N/A</v>
      </c>
    </row>
    <row r="131" spans="4:5" x14ac:dyDescent="0.25">
      <c r="D131" t="str">
        <f t="array" ref="D131">IFERROR(INDEX(B131:B153,MATCH(0,COUNTIF($D$1:D130,B131:B153),0)),"")</f>
        <v/>
      </c>
      <c r="E131" t="e">
        <f t="shared" ref="E131:E194" si="2">+INDEX($B$2:$C$1500,MATCH(D131,$B$2:$B$1500,0),2)</f>
        <v>#N/A</v>
      </c>
    </row>
    <row r="132" spans="4:5" x14ac:dyDescent="0.25">
      <c r="D132" t="str">
        <f t="array" ref="D132">IFERROR(INDEX(B132:B154,MATCH(0,COUNTIF($D$1:D131,B132:B154),0)),"")</f>
        <v/>
      </c>
      <c r="E132" t="e">
        <f t="shared" si="2"/>
        <v>#N/A</v>
      </c>
    </row>
    <row r="133" spans="4:5" x14ac:dyDescent="0.25">
      <c r="D133" t="str">
        <f t="array" ref="D133">IFERROR(INDEX(B133:B155,MATCH(0,COUNTIF($D$1:D132,B133:B155),0)),"")</f>
        <v/>
      </c>
      <c r="E133" t="e">
        <f t="shared" si="2"/>
        <v>#N/A</v>
      </c>
    </row>
    <row r="134" spans="4:5" x14ac:dyDescent="0.25">
      <c r="D134" t="str">
        <f t="array" ref="D134">IFERROR(INDEX(B134:B156,MATCH(0,COUNTIF($D$1:D133,B134:B156),0)),"")</f>
        <v/>
      </c>
      <c r="E134" t="e">
        <f t="shared" si="2"/>
        <v>#N/A</v>
      </c>
    </row>
    <row r="135" spans="4:5" x14ac:dyDescent="0.25">
      <c r="D135" t="str">
        <f t="array" ref="D135">IFERROR(INDEX(B135:B157,MATCH(0,COUNTIF($D$1:D134,B135:B157),0)),"")</f>
        <v/>
      </c>
      <c r="E135" t="e">
        <f t="shared" si="2"/>
        <v>#N/A</v>
      </c>
    </row>
    <row r="136" spans="4:5" x14ac:dyDescent="0.25">
      <c r="D136" t="str">
        <f t="array" ref="D136">IFERROR(INDEX(B136:B158,MATCH(0,COUNTIF($D$1:D135,B136:B158),0)),"")</f>
        <v/>
      </c>
      <c r="E136" t="e">
        <f t="shared" si="2"/>
        <v>#N/A</v>
      </c>
    </row>
    <row r="137" spans="4:5" x14ac:dyDescent="0.25">
      <c r="D137" t="str">
        <f t="array" ref="D137">IFERROR(INDEX(B137:B159,MATCH(0,COUNTIF($D$1:D136,B137:B159),0)),"")</f>
        <v/>
      </c>
      <c r="E137" t="e">
        <f t="shared" si="2"/>
        <v>#N/A</v>
      </c>
    </row>
    <row r="138" spans="4:5" x14ac:dyDescent="0.25">
      <c r="D138" t="str">
        <f t="array" ref="D138">IFERROR(INDEX(B138:B160,MATCH(0,COUNTIF($D$1:D137,B138:B160),0)),"")</f>
        <v/>
      </c>
      <c r="E138" t="e">
        <f t="shared" si="2"/>
        <v>#N/A</v>
      </c>
    </row>
    <row r="139" spans="4:5" x14ac:dyDescent="0.25">
      <c r="D139" t="str">
        <f t="array" ref="D139">IFERROR(INDEX(B139:B161,MATCH(0,COUNTIF($D$1:D138,B139:B161),0)),"")</f>
        <v/>
      </c>
      <c r="E139" t="e">
        <f t="shared" si="2"/>
        <v>#N/A</v>
      </c>
    </row>
    <row r="140" spans="4:5" x14ac:dyDescent="0.25">
      <c r="D140" t="str">
        <f t="array" ref="D140">IFERROR(INDEX(B140:B162,MATCH(0,COUNTIF($D$1:D139,B140:B162),0)),"")</f>
        <v/>
      </c>
      <c r="E140" t="e">
        <f t="shared" si="2"/>
        <v>#N/A</v>
      </c>
    </row>
    <row r="141" spans="4:5" x14ac:dyDescent="0.25">
      <c r="D141" t="str">
        <f t="array" ref="D141">IFERROR(INDEX(B141:B163,MATCH(0,COUNTIF($D$1:D140,B141:B163),0)),"")</f>
        <v/>
      </c>
      <c r="E141" t="e">
        <f t="shared" si="2"/>
        <v>#N/A</v>
      </c>
    </row>
    <row r="142" spans="4:5" x14ac:dyDescent="0.25">
      <c r="D142" t="str">
        <f t="array" ref="D142">IFERROR(INDEX(B142:B164,MATCH(0,COUNTIF($D$1:D141,B142:B164),0)),"")</f>
        <v/>
      </c>
      <c r="E142" t="e">
        <f t="shared" si="2"/>
        <v>#N/A</v>
      </c>
    </row>
    <row r="143" spans="4:5" x14ac:dyDescent="0.25">
      <c r="D143" t="str">
        <f t="array" ref="D143">IFERROR(INDEX(B143:B165,MATCH(0,COUNTIF($D$1:D142,B143:B165),0)),"")</f>
        <v/>
      </c>
      <c r="E143" t="e">
        <f t="shared" si="2"/>
        <v>#N/A</v>
      </c>
    </row>
    <row r="144" spans="4:5" x14ac:dyDescent="0.25">
      <c r="D144" t="str">
        <f t="array" ref="D144">IFERROR(INDEX(B144:B166,MATCH(0,COUNTIF($D$1:D143,B144:B166),0)),"")</f>
        <v/>
      </c>
      <c r="E144" t="e">
        <f t="shared" si="2"/>
        <v>#N/A</v>
      </c>
    </row>
    <row r="145" spans="4:5" x14ac:dyDescent="0.25">
      <c r="D145" t="str">
        <f t="array" ref="D145">IFERROR(INDEX(B145:B167,MATCH(0,COUNTIF($D$1:D144,B145:B167),0)),"")</f>
        <v/>
      </c>
      <c r="E145" t="e">
        <f t="shared" si="2"/>
        <v>#N/A</v>
      </c>
    </row>
    <row r="146" spans="4:5" x14ac:dyDescent="0.25">
      <c r="D146" t="str">
        <f t="array" ref="D146">IFERROR(INDEX(B146:B168,MATCH(0,COUNTIF($D$1:D145,B146:B168),0)),"")</f>
        <v/>
      </c>
      <c r="E146" t="e">
        <f t="shared" si="2"/>
        <v>#N/A</v>
      </c>
    </row>
    <row r="147" spans="4:5" x14ac:dyDescent="0.25">
      <c r="D147" t="str">
        <f t="array" ref="D147">IFERROR(INDEX(B147:B169,MATCH(0,COUNTIF($D$1:D146,B147:B169),0)),"")</f>
        <v/>
      </c>
      <c r="E147" t="e">
        <f t="shared" si="2"/>
        <v>#N/A</v>
      </c>
    </row>
    <row r="148" spans="4:5" x14ac:dyDescent="0.25">
      <c r="D148" t="str">
        <f t="array" ref="D148">IFERROR(INDEX(B148:B170,MATCH(0,COUNTIF($D$1:D147,B148:B170),0)),"")</f>
        <v/>
      </c>
      <c r="E148" t="e">
        <f t="shared" si="2"/>
        <v>#N/A</v>
      </c>
    </row>
    <row r="149" spans="4:5" x14ac:dyDescent="0.25">
      <c r="D149" t="str">
        <f t="array" ref="D149">IFERROR(INDEX(B149:B171,MATCH(0,COUNTIF($D$1:D148,B149:B171),0)),"")</f>
        <v/>
      </c>
      <c r="E149" t="e">
        <f t="shared" si="2"/>
        <v>#N/A</v>
      </c>
    </row>
    <row r="150" spans="4:5" x14ac:dyDescent="0.25">
      <c r="D150" t="str">
        <f t="array" ref="D150">IFERROR(INDEX(B150:B172,MATCH(0,COUNTIF($D$1:D149,B150:B172),0)),"")</f>
        <v/>
      </c>
      <c r="E150" t="e">
        <f t="shared" si="2"/>
        <v>#N/A</v>
      </c>
    </row>
    <row r="151" spans="4:5" x14ac:dyDescent="0.25">
      <c r="D151" t="str">
        <f t="array" ref="D151">IFERROR(INDEX(B151:B173,MATCH(0,COUNTIF($D$1:D150,B151:B173),0)),"")</f>
        <v/>
      </c>
      <c r="E151" t="e">
        <f t="shared" si="2"/>
        <v>#N/A</v>
      </c>
    </row>
    <row r="152" spans="4:5" x14ac:dyDescent="0.25">
      <c r="D152" t="str">
        <f t="array" ref="D152">IFERROR(INDEX(B152:B174,MATCH(0,COUNTIF($D$1:D151,B152:B174),0)),"")</f>
        <v/>
      </c>
      <c r="E152" t="e">
        <f t="shared" si="2"/>
        <v>#N/A</v>
      </c>
    </row>
    <row r="153" spans="4:5" x14ac:dyDescent="0.25">
      <c r="D153" t="str">
        <f t="array" ref="D153">IFERROR(INDEX(B153:B175,MATCH(0,COUNTIF($D$1:D152,B153:B175),0)),"")</f>
        <v/>
      </c>
      <c r="E153" t="e">
        <f t="shared" si="2"/>
        <v>#N/A</v>
      </c>
    </row>
    <row r="154" spans="4:5" x14ac:dyDescent="0.25">
      <c r="D154" t="str">
        <f t="array" ref="D154">IFERROR(INDEX(B154:B176,MATCH(0,COUNTIF($D$1:D153,B154:B176),0)),"")</f>
        <v/>
      </c>
      <c r="E154" t="e">
        <f t="shared" si="2"/>
        <v>#N/A</v>
      </c>
    </row>
    <row r="155" spans="4:5" x14ac:dyDescent="0.25">
      <c r="D155" t="str">
        <f t="array" ref="D155">IFERROR(INDEX(B155:B177,MATCH(0,COUNTIF($D$1:D154,B155:B177),0)),"")</f>
        <v/>
      </c>
      <c r="E155" t="e">
        <f t="shared" si="2"/>
        <v>#N/A</v>
      </c>
    </row>
    <row r="156" spans="4:5" x14ac:dyDescent="0.25">
      <c r="D156" t="str">
        <f t="array" ref="D156">IFERROR(INDEX(B156:B178,MATCH(0,COUNTIF($D$1:D155,B156:B178),0)),"")</f>
        <v/>
      </c>
      <c r="E156" t="e">
        <f t="shared" si="2"/>
        <v>#N/A</v>
      </c>
    </row>
    <row r="157" spans="4:5" x14ac:dyDescent="0.25">
      <c r="D157" t="str">
        <f t="array" ref="D157">IFERROR(INDEX(B157:B179,MATCH(0,COUNTIF($D$1:D156,B157:B179),0)),"")</f>
        <v/>
      </c>
      <c r="E157" t="e">
        <f t="shared" si="2"/>
        <v>#N/A</v>
      </c>
    </row>
    <row r="158" spans="4:5" x14ac:dyDescent="0.25">
      <c r="D158" t="str">
        <f t="array" ref="D158">IFERROR(INDEX(B158:B180,MATCH(0,COUNTIF($D$1:D157,B158:B180),0)),"")</f>
        <v/>
      </c>
      <c r="E158" t="e">
        <f t="shared" si="2"/>
        <v>#N/A</v>
      </c>
    </row>
    <row r="159" spans="4:5" x14ac:dyDescent="0.25">
      <c r="D159" t="str">
        <f t="array" ref="D159">IFERROR(INDEX(B159:B181,MATCH(0,COUNTIF($D$1:D158,B159:B181),0)),"")</f>
        <v/>
      </c>
      <c r="E159" t="e">
        <f t="shared" si="2"/>
        <v>#N/A</v>
      </c>
    </row>
    <row r="160" spans="4:5" x14ac:dyDescent="0.25">
      <c r="D160" t="str">
        <f t="array" ref="D160">IFERROR(INDEX(B160:B182,MATCH(0,COUNTIF($D$1:D159,B160:B182),0)),"")</f>
        <v/>
      </c>
      <c r="E160" t="e">
        <f t="shared" si="2"/>
        <v>#N/A</v>
      </c>
    </row>
    <row r="161" spans="4:5" x14ac:dyDescent="0.25">
      <c r="D161" t="str">
        <f t="array" ref="D161">IFERROR(INDEX(B161:B183,MATCH(0,COUNTIF($D$1:D160,B161:B183),0)),"")</f>
        <v/>
      </c>
      <c r="E161" t="e">
        <f t="shared" si="2"/>
        <v>#N/A</v>
      </c>
    </row>
    <row r="162" spans="4:5" x14ac:dyDescent="0.25">
      <c r="D162" t="str">
        <f t="array" ref="D162">IFERROR(INDEX(B162:B184,MATCH(0,COUNTIF($D$1:D161,B162:B184),0)),"")</f>
        <v/>
      </c>
      <c r="E162" t="e">
        <f t="shared" si="2"/>
        <v>#N/A</v>
      </c>
    </row>
    <row r="163" spans="4:5" x14ac:dyDescent="0.25">
      <c r="D163" t="str">
        <f t="array" ref="D163">IFERROR(INDEX(B163:B185,MATCH(0,COUNTIF($D$1:D162,B163:B185),0)),"")</f>
        <v/>
      </c>
      <c r="E163" t="e">
        <f t="shared" si="2"/>
        <v>#N/A</v>
      </c>
    </row>
    <row r="164" spans="4:5" x14ac:dyDescent="0.25">
      <c r="D164" t="str">
        <f t="array" ref="D164">IFERROR(INDEX(B164:B186,MATCH(0,COUNTIF($D$1:D163,B164:B186),0)),"")</f>
        <v/>
      </c>
      <c r="E164" t="e">
        <f t="shared" si="2"/>
        <v>#N/A</v>
      </c>
    </row>
    <row r="165" spans="4:5" x14ac:dyDescent="0.25">
      <c r="D165" t="str">
        <f t="array" ref="D165">IFERROR(INDEX(B165:B187,MATCH(0,COUNTIF($D$1:D164,B165:B187),0)),"")</f>
        <v/>
      </c>
      <c r="E165" t="e">
        <f t="shared" si="2"/>
        <v>#N/A</v>
      </c>
    </row>
    <row r="166" spans="4:5" x14ac:dyDescent="0.25">
      <c r="D166" t="str">
        <f t="array" ref="D166">IFERROR(INDEX(B166:B188,MATCH(0,COUNTIF($D$1:D165,B166:B188),0)),"")</f>
        <v/>
      </c>
      <c r="E166" t="e">
        <f t="shared" si="2"/>
        <v>#N/A</v>
      </c>
    </row>
    <row r="167" spans="4:5" x14ac:dyDescent="0.25">
      <c r="D167" t="str">
        <f t="array" ref="D167">IFERROR(INDEX(B167:B189,MATCH(0,COUNTIF($D$1:D166,B167:B189),0)),"")</f>
        <v/>
      </c>
      <c r="E167" t="e">
        <f t="shared" si="2"/>
        <v>#N/A</v>
      </c>
    </row>
    <row r="168" spans="4:5" x14ac:dyDescent="0.25">
      <c r="D168" t="str">
        <f t="array" ref="D168">IFERROR(INDEX(B168:B190,MATCH(0,COUNTIF($D$1:D167,B168:B190),0)),"")</f>
        <v/>
      </c>
      <c r="E168" t="e">
        <f t="shared" si="2"/>
        <v>#N/A</v>
      </c>
    </row>
    <row r="169" spans="4:5" x14ac:dyDescent="0.25">
      <c r="D169" t="str">
        <f t="array" ref="D169">IFERROR(INDEX(B169:B191,MATCH(0,COUNTIF($D$1:D168,B169:B191),0)),"")</f>
        <v/>
      </c>
      <c r="E169" t="e">
        <f t="shared" si="2"/>
        <v>#N/A</v>
      </c>
    </row>
    <row r="170" spans="4:5" x14ac:dyDescent="0.25">
      <c r="D170" t="str">
        <f t="array" ref="D170">IFERROR(INDEX(B170:B192,MATCH(0,COUNTIF($D$1:D169,B170:B192),0)),"")</f>
        <v/>
      </c>
      <c r="E170" t="e">
        <f t="shared" si="2"/>
        <v>#N/A</v>
      </c>
    </row>
    <row r="171" spans="4:5" x14ac:dyDescent="0.25">
      <c r="D171" t="str">
        <f t="array" ref="D171">IFERROR(INDEX(B171:B193,MATCH(0,COUNTIF($D$1:D170,B171:B193),0)),"")</f>
        <v/>
      </c>
      <c r="E171" t="e">
        <f t="shared" si="2"/>
        <v>#N/A</v>
      </c>
    </row>
    <row r="172" spans="4:5" x14ac:dyDescent="0.25">
      <c r="D172" t="str">
        <f t="array" ref="D172">IFERROR(INDEX(B172:B194,MATCH(0,COUNTIF($D$1:D171,B172:B194),0)),"")</f>
        <v/>
      </c>
      <c r="E172" t="e">
        <f t="shared" si="2"/>
        <v>#N/A</v>
      </c>
    </row>
    <row r="173" spans="4:5" x14ac:dyDescent="0.25">
      <c r="D173" t="str">
        <f t="array" ref="D173">IFERROR(INDEX(B173:B195,MATCH(0,COUNTIF($D$1:D172,B173:B195),0)),"")</f>
        <v/>
      </c>
      <c r="E173" t="e">
        <f t="shared" si="2"/>
        <v>#N/A</v>
      </c>
    </row>
    <row r="174" spans="4:5" x14ac:dyDescent="0.25">
      <c r="D174" t="str">
        <f t="array" ref="D174">IFERROR(INDEX(B174:B196,MATCH(0,COUNTIF($D$1:D173,B174:B196),0)),"")</f>
        <v/>
      </c>
      <c r="E174" t="e">
        <f t="shared" si="2"/>
        <v>#N/A</v>
      </c>
    </row>
    <row r="175" spans="4:5" x14ac:dyDescent="0.25">
      <c r="D175" t="str">
        <f t="array" ref="D175">IFERROR(INDEX(B175:B197,MATCH(0,COUNTIF($D$1:D174,B175:B197),0)),"")</f>
        <v/>
      </c>
      <c r="E175" t="e">
        <f t="shared" si="2"/>
        <v>#N/A</v>
      </c>
    </row>
    <row r="176" spans="4:5" x14ac:dyDescent="0.25">
      <c r="D176" t="str">
        <f t="array" ref="D176">IFERROR(INDEX(B176:B198,MATCH(0,COUNTIF($D$1:D175,B176:B198),0)),"")</f>
        <v/>
      </c>
      <c r="E176" t="e">
        <f t="shared" si="2"/>
        <v>#N/A</v>
      </c>
    </row>
    <row r="177" spans="4:5" x14ac:dyDescent="0.25">
      <c r="D177" t="str">
        <f t="array" ref="D177">IFERROR(INDEX(B177:B199,MATCH(0,COUNTIF($D$1:D176,B177:B199),0)),"")</f>
        <v/>
      </c>
      <c r="E177" t="e">
        <f t="shared" si="2"/>
        <v>#N/A</v>
      </c>
    </row>
    <row r="178" spans="4:5" x14ac:dyDescent="0.25">
      <c r="D178" t="str">
        <f t="array" ref="D178">IFERROR(INDEX(B178:B200,MATCH(0,COUNTIF($D$1:D177,B178:B200),0)),"")</f>
        <v/>
      </c>
      <c r="E178" t="e">
        <f t="shared" si="2"/>
        <v>#N/A</v>
      </c>
    </row>
    <row r="179" spans="4:5" x14ac:dyDescent="0.25">
      <c r="D179" t="str">
        <f t="array" ref="D179">IFERROR(INDEX(B179:B201,MATCH(0,COUNTIF($D$1:D178,B179:B201),0)),"")</f>
        <v/>
      </c>
      <c r="E179" t="e">
        <f t="shared" si="2"/>
        <v>#N/A</v>
      </c>
    </row>
    <row r="180" spans="4:5" x14ac:dyDescent="0.25">
      <c r="D180" t="str">
        <f t="array" ref="D180">IFERROR(INDEX(B180:B202,MATCH(0,COUNTIF($D$1:D179,B180:B202),0)),"")</f>
        <v/>
      </c>
      <c r="E180" t="e">
        <f t="shared" si="2"/>
        <v>#N/A</v>
      </c>
    </row>
    <row r="181" spans="4:5" x14ac:dyDescent="0.25">
      <c r="D181" t="str">
        <f t="array" ref="D181">IFERROR(INDEX(B181:B203,MATCH(0,COUNTIF($D$1:D180,B181:B203),0)),"")</f>
        <v/>
      </c>
      <c r="E181" t="e">
        <f t="shared" si="2"/>
        <v>#N/A</v>
      </c>
    </row>
    <row r="182" spans="4:5" x14ac:dyDescent="0.25">
      <c r="D182" t="str">
        <f t="array" ref="D182">IFERROR(INDEX(B182:B204,MATCH(0,COUNTIF($D$1:D181,B182:B204),0)),"")</f>
        <v/>
      </c>
      <c r="E182" t="e">
        <f t="shared" si="2"/>
        <v>#N/A</v>
      </c>
    </row>
    <row r="183" spans="4:5" x14ac:dyDescent="0.25">
      <c r="D183" t="str">
        <f t="array" ref="D183">IFERROR(INDEX(B183:B205,MATCH(0,COUNTIF($D$1:D182,B183:B205),0)),"")</f>
        <v/>
      </c>
      <c r="E183" t="e">
        <f t="shared" si="2"/>
        <v>#N/A</v>
      </c>
    </row>
    <row r="184" spans="4:5" x14ac:dyDescent="0.25">
      <c r="D184" t="str">
        <f t="array" ref="D184">IFERROR(INDEX(B184:B206,MATCH(0,COUNTIF($D$1:D183,B184:B206),0)),"")</f>
        <v/>
      </c>
      <c r="E184" t="e">
        <f t="shared" si="2"/>
        <v>#N/A</v>
      </c>
    </row>
    <row r="185" spans="4:5" x14ac:dyDescent="0.25">
      <c r="D185" t="str">
        <f t="array" ref="D185">IFERROR(INDEX(B185:B207,MATCH(0,COUNTIF($D$1:D184,B185:B207),0)),"")</f>
        <v/>
      </c>
      <c r="E185" t="e">
        <f t="shared" si="2"/>
        <v>#N/A</v>
      </c>
    </row>
    <row r="186" spans="4:5" x14ac:dyDescent="0.25">
      <c r="D186" t="str">
        <f t="array" ref="D186">IFERROR(INDEX(B186:B208,MATCH(0,COUNTIF($D$1:D185,B186:B208),0)),"")</f>
        <v/>
      </c>
      <c r="E186" t="e">
        <f t="shared" si="2"/>
        <v>#N/A</v>
      </c>
    </row>
    <row r="187" spans="4:5" x14ac:dyDescent="0.25">
      <c r="D187" t="str">
        <f t="array" ref="D187">IFERROR(INDEX(B187:B209,MATCH(0,COUNTIF($D$1:D186,B187:B209),0)),"")</f>
        <v/>
      </c>
      <c r="E187" t="e">
        <f t="shared" si="2"/>
        <v>#N/A</v>
      </c>
    </row>
    <row r="188" spans="4:5" x14ac:dyDescent="0.25">
      <c r="D188" t="str">
        <f t="array" ref="D188">IFERROR(INDEX(B188:B210,MATCH(0,COUNTIF($D$1:D187,B188:B210),0)),"")</f>
        <v/>
      </c>
      <c r="E188" t="e">
        <f t="shared" si="2"/>
        <v>#N/A</v>
      </c>
    </row>
    <row r="189" spans="4:5" x14ac:dyDescent="0.25">
      <c r="D189" t="str">
        <f t="array" ref="D189">IFERROR(INDEX(B189:B211,MATCH(0,COUNTIF($D$1:D188,B189:B211),0)),"")</f>
        <v/>
      </c>
      <c r="E189" t="e">
        <f t="shared" si="2"/>
        <v>#N/A</v>
      </c>
    </row>
    <row r="190" spans="4:5" x14ac:dyDescent="0.25">
      <c r="D190" t="str">
        <f t="array" ref="D190">IFERROR(INDEX(B190:B212,MATCH(0,COUNTIF($D$1:D189,B190:B212),0)),"")</f>
        <v/>
      </c>
      <c r="E190" t="e">
        <f t="shared" si="2"/>
        <v>#N/A</v>
      </c>
    </row>
    <row r="191" spans="4:5" x14ac:dyDescent="0.25">
      <c r="D191" t="str">
        <f t="array" ref="D191">IFERROR(INDEX(B191:B213,MATCH(0,COUNTIF($D$1:D190,B191:B213),0)),"")</f>
        <v/>
      </c>
      <c r="E191" t="e">
        <f t="shared" si="2"/>
        <v>#N/A</v>
      </c>
    </row>
    <row r="192" spans="4:5" x14ac:dyDescent="0.25">
      <c r="D192" t="str">
        <f t="array" ref="D192">IFERROR(INDEX(B192:B214,MATCH(0,COUNTIF($D$1:D191,B192:B214),0)),"")</f>
        <v/>
      </c>
      <c r="E192" t="e">
        <f t="shared" si="2"/>
        <v>#N/A</v>
      </c>
    </row>
    <row r="193" spans="4:5" x14ac:dyDescent="0.25">
      <c r="D193" t="str">
        <f t="array" ref="D193">IFERROR(INDEX(B193:B215,MATCH(0,COUNTIF($D$1:D192,B193:B215),0)),"")</f>
        <v/>
      </c>
      <c r="E193" t="e">
        <f t="shared" si="2"/>
        <v>#N/A</v>
      </c>
    </row>
    <row r="194" spans="4:5" x14ac:dyDescent="0.25">
      <c r="D194" t="str">
        <f t="array" ref="D194">IFERROR(INDEX(B194:B216,MATCH(0,COUNTIF($D$1:D193,B194:B216),0)),"")</f>
        <v/>
      </c>
      <c r="E194" t="e">
        <f t="shared" si="2"/>
        <v>#N/A</v>
      </c>
    </row>
    <row r="195" spans="4:5" x14ac:dyDescent="0.25">
      <c r="D195" t="str">
        <f t="array" ref="D195">IFERROR(INDEX(B195:B217,MATCH(0,COUNTIF($D$1:D194,B195:B217),0)),"")</f>
        <v/>
      </c>
      <c r="E195" t="e">
        <f t="shared" ref="E195:E258" si="3">+INDEX($B$2:$C$1500,MATCH(D195,$B$2:$B$1500,0),2)</f>
        <v>#N/A</v>
      </c>
    </row>
    <row r="196" spans="4:5" x14ac:dyDescent="0.25">
      <c r="D196" t="str">
        <f t="array" ref="D196">IFERROR(INDEX(B196:B218,MATCH(0,COUNTIF($D$1:D195,B196:B218),0)),"")</f>
        <v/>
      </c>
      <c r="E196" t="e">
        <f t="shared" si="3"/>
        <v>#N/A</v>
      </c>
    </row>
    <row r="197" spans="4:5" x14ac:dyDescent="0.25">
      <c r="D197" t="str">
        <f t="array" ref="D197">IFERROR(INDEX(B197:B219,MATCH(0,COUNTIF($D$1:D196,B197:B219),0)),"")</f>
        <v/>
      </c>
      <c r="E197" t="e">
        <f t="shared" si="3"/>
        <v>#N/A</v>
      </c>
    </row>
    <row r="198" spans="4:5" x14ac:dyDescent="0.25">
      <c r="D198" t="str">
        <f t="array" ref="D198">IFERROR(INDEX(B198:B220,MATCH(0,COUNTIF($D$1:D197,B198:B220),0)),"")</f>
        <v/>
      </c>
      <c r="E198" t="e">
        <f t="shared" si="3"/>
        <v>#N/A</v>
      </c>
    </row>
    <row r="199" spans="4:5" x14ac:dyDescent="0.25">
      <c r="D199" t="str">
        <f t="array" ref="D199">IFERROR(INDEX(B199:B221,MATCH(0,COUNTIF($D$1:D198,B199:B221),0)),"")</f>
        <v/>
      </c>
      <c r="E199" t="e">
        <f t="shared" si="3"/>
        <v>#N/A</v>
      </c>
    </row>
    <row r="200" spans="4:5" x14ac:dyDescent="0.25">
      <c r="D200" t="str">
        <f t="array" ref="D200">IFERROR(INDEX(B200:B222,MATCH(0,COUNTIF($D$1:D199,B200:B222),0)),"")</f>
        <v/>
      </c>
      <c r="E200" t="e">
        <f t="shared" si="3"/>
        <v>#N/A</v>
      </c>
    </row>
    <row r="201" spans="4:5" x14ac:dyDescent="0.25">
      <c r="D201" t="str">
        <f t="array" ref="D201">IFERROR(INDEX(B201:B223,MATCH(0,COUNTIF($D$1:D200,B201:B223),0)),"")</f>
        <v/>
      </c>
      <c r="E201" t="e">
        <f t="shared" si="3"/>
        <v>#N/A</v>
      </c>
    </row>
    <row r="202" spans="4:5" x14ac:dyDescent="0.25">
      <c r="D202" t="str">
        <f t="array" ref="D202">IFERROR(INDEX(B202:B224,MATCH(0,COUNTIF($D$1:D201,B202:B224),0)),"")</f>
        <v/>
      </c>
      <c r="E202" t="e">
        <f t="shared" si="3"/>
        <v>#N/A</v>
      </c>
    </row>
    <row r="203" spans="4:5" x14ac:dyDescent="0.25">
      <c r="D203" t="str">
        <f t="array" ref="D203">IFERROR(INDEX(B203:B225,MATCH(0,COUNTIF($D$1:D202,B203:B225),0)),"")</f>
        <v/>
      </c>
      <c r="E203" t="e">
        <f t="shared" si="3"/>
        <v>#N/A</v>
      </c>
    </row>
    <row r="204" spans="4:5" x14ac:dyDescent="0.25">
      <c r="D204" t="str">
        <f t="array" ref="D204">IFERROR(INDEX(B204:B226,MATCH(0,COUNTIF($D$1:D203,B204:B226),0)),"")</f>
        <v/>
      </c>
      <c r="E204" t="e">
        <f t="shared" si="3"/>
        <v>#N/A</v>
      </c>
    </row>
    <row r="205" spans="4:5" x14ac:dyDescent="0.25">
      <c r="D205" t="str">
        <f t="array" ref="D205">IFERROR(INDEX(B205:B227,MATCH(0,COUNTIF($D$1:D204,B205:B227),0)),"")</f>
        <v/>
      </c>
      <c r="E205" t="e">
        <f t="shared" si="3"/>
        <v>#N/A</v>
      </c>
    </row>
    <row r="206" spans="4:5" x14ac:dyDescent="0.25">
      <c r="D206" t="str">
        <f t="array" ref="D206">IFERROR(INDEX(B206:B228,MATCH(0,COUNTIF($D$1:D205,B206:B228),0)),"")</f>
        <v/>
      </c>
      <c r="E206" t="e">
        <f t="shared" si="3"/>
        <v>#N/A</v>
      </c>
    </row>
    <row r="207" spans="4:5" x14ac:dyDescent="0.25">
      <c r="D207" t="str">
        <f t="array" ref="D207">IFERROR(INDEX(B207:B229,MATCH(0,COUNTIF($D$1:D206,B207:B229),0)),"")</f>
        <v/>
      </c>
      <c r="E207" t="e">
        <f t="shared" si="3"/>
        <v>#N/A</v>
      </c>
    </row>
    <row r="208" spans="4:5" x14ac:dyDescent="0.25">
      <c r="D208" t="str">
        <f t="array" ref="D208">IFERROR(INDEX(B208:B230,MATCH(0,COUNTIF($D$1:D207,B208:B230),0)),"")</f>
        <v/>
      </c>
      <c r="E208" t="e">
        <f t="shared" si="3"/>
        <v>#N/A</v>
      </c>
    </row>
    <row r="209" spans="4:5" x14ac:dyDescent="0.25">
      <c r="D209" t="str">
        <f t="array" ref="D209">IFERROR(INDEX(B209:B231,MATCH(0,COUNTIF($D$1:D208,B209:B231),0)),"")</f>
        <v/>
      </c>
      <c r="E209" t="e">
        <f t="shared" si="3"/>
        <v>#N/A</v>
      </c>
    </row>
    <row r="210" spans="4:5" x14ac:dyDescent="0.25">
      <c r="D210" t="str">
        <f t="array" ref="D210">IFERROR(INDEX(B210:B232,MATCH(0,COUNTIF($D$1:D209,B210:B232),0)),"")</f>
        <v/>
      </c>
      <c r="E210" t="e">
        <f t="shared" si="3"/>
        <v>#N/A</v>
      </c>
    </row>
    <row r="211" spans="4:5" x14ac:dyDescent="0.25">
      <c r="D211" t="str">
        <f t="array" ref="D211">IFERROR(INDEX(B211:B233,MATCH(0,COUNTIF($D$1:D210,B211:B233),0)),"")</f>
        <v/>
      </c>
      <c r="E211" t="e">
        <f t="shared" si="3"/>
        <v>#N/A</v>
      </c>
    </row>
    <row r="212" spans="4:5" x14ac:dyDescent="0.25">
      <c r="D212" t="str">
        <f t="array" ref="D212">IFERROR(INDEX(B212:B234,MATCH(0,COUNTIF($D$1:D211,B212:B234),0)),"")</f>
        <v/>
      </c>
      <c r="E212" t="e">
        <f t="shared" si="3"/>
        <v>#N/A</v>
      </c>
    </row>
    <row r="213" spans="4:5" x14ac:dyDescent="0.25">
      <c r="D213" t="str">
        <f t="array" ref="D213">IFERROR(INDEX(B213:B235,MATCH(0,COUNTIF($D$1:D212,B213:B235),0)),"")</f>
        <v/>
      </c>
      <c r="E213" t="e">
        <f t="shared" si="3"/>
        <v>#N/A</v>
      </c>
    </row>
    <row r="214" spans="4:5" x14ac:dyDescent="0.25">
      <c r="D214" t="str">
        <f t="array" ref="D214">IFERROR(INDEX(B214:B236,MATCH(0,COUNTIF($D$1:D213,B214:B236),0)),"")</f>
        <v/>
      </c>
      <c r="E214" t="e">
        <f t="shared" si="3"/>
        <v>#N/A</v>
      </c>
    </row>
    <row r="215" spans="4:5" x14ac:dyDescent="0.25">
      <c r="D215" t="str">
        <f t="array" ref="D215">IFERROR(INDEX(B215:B237,MATCH(0,COUNTIF($D$1:D214,B215:B237),0)),"")</f>
        <v/>
      </c>
      <c r="E215" t="e">
        <f t="shared" si="3"/>
        <v>#N/A</v>
      </c>
    </row>
    <row r="216" spans="4:5" x14ac:dyDescent="0.25">
      <c r="D216" t="str">
        <f t="array" ref="D216">IFERROR(INDEX(B216:B238,MATCH(0,COUNTIF($D$1:D215,B216:B238),0)),"")</f>
        <v/>
      </c>
      <c r="E216" t="e">
        <f t="shared" si="3"/>
        <v>#N/A</v>
      </c>
    </row>
    <row r="217" spans="4:5" x14ac:dyDescent="0.25">
      <c r="D217" t="str">
        <f t="array" ref="D217">IFERROR(INDEX(B217:B239,MATCH(0,COUNTIF($D$1:D216,B217:B239),0)),"")</f>
        <v/>
      </c>
      <c r="E217" t="e">
        <f t="shared" si="3"/>
        <v>#N/A</v>
      </c>
    </row>
    <row r="218" spans="4:5" x14ac:dyDescent="0.25">
      <c r="D218" t="str">
        <f t="array" ref="D218">IFERROR(INDEX(B218:B240,MATCH(0,COUNTIF($D$1:D217,B218:B240),0)),"")</f>
        <v/>
      </c>
      <c r="E218" t="e">
        <f t="shared" si="3"/>
        <v>#N/A</v>
      </c>
    </row>
    <row r="219" spans="4:5" x14ac:dyDescent="0.25">
      <c r="D219" t="str">
        <f t="array" ref="D219">IFERROR(INDEX(B219:B241,MATCH(0,COUNTIF($D$1:D218,B219:B241),0)),"")</f>
        <v/>
      </c>
      <c r="E219" t="e">
        <f t="shared" si="3"/>
        <v>#N/A</v>
      </c>
    </row>
    <row r="220" spans="4:5" x14ac:dyDescent="0.25">
      <c r="D220" t="str">
        <f t="array" ref="D220">IFERROR(INDEX(B220:B242,MATCH(0,COUNTIF($D$1:D219,B220:B242),0)),"")</f>
        <v/>
      </c>
      <c r="E220" t="e">
        <f t="shared" si="3"/>
        <v>#N/A</v>
      </c>
    </row>
    <row r="221" spans="4:5" x14ac:dyDescent="0.25">
      <c r="D221" t="str">
        <f t="array" ref="D221">IFERROR(INDEX(B221:B243,MATCH(0,COUNTIF($D$1:D220,B221:B243),0)),"")</f>
        <v/>
      </c>
      <c r="E221" t="e">
        <f t="shared" si="3"/>
        <v>#N/A</v>
      </c>
    </row>
    <row r="222" spans="4:5" x14ac:dyDescent="0.25">
      <c r="D222" t="str">
        <f t="array" ref="D222">IFERROR(INDEX(B222:B244,MATCH(0,COUNTIF($D$1:D221,B222:B244),0)),"")</f>
        <v/>
      </c>
      <c r="E222" t="e">
        <f t="shared" si="3"/>
        <v>#N/A</v>
      </c>
    </row>
    <row r="223" spans="4:5" x14ac:dyDescent="0.25">
      <c r="D223" t="str">
        <f t="array" ref="D223">IFERROR(INDEX(B223:B245,MATCH(0,COUNTIF($D$1:D222,B223:B245),0)),"")</f>
        <v/>
      </c>
      <c r="E223" t="e">
        <f t="shared" si="3"/>
        <v>#N/A</v>
      </c>
    </row>
    <row r="224" spans="4:5" x14ac:dyDescent="0.25">
      <c r="D224" t="str">
        <f t="array" ref="D224">IFERROR(INDEX(B224:B246,MATCH(0,COUNTIF($D$1:D223,B224:B246),0)),"")</f>
        <v/>
      </c>
      <c r="E224" t="e">
        <f t="shared" si="3"/>
        <v>#N/A</v>
      </c>
    </row>
    <row r="225" spans="4:5" x14ac:dyDescent="0.25">
      <c r="D225" t="str">
        <f t="array" ref="D225">IFERROR(INDEX(B225:B247,MATCH(0,COUNTIF($D$1:D224,B225:B247),0)),"")</f>
        <v/>
      </c>
      <c r="E225" t="e">
        <f t="shared" si="3"/>
        <v>#N/A</v>
      </c>
    </row>
    <row r="226" spans="4:5" x14ac:dyDescent="0.25">
      <c r="D226" t="str">
        <f t="array" ref="D226">IFERROR(INDEX(B226:B248,MATCH(0,COUNTIF($D$1:D225,B226:B248),0)),"")</f>
        <v/>
      </c>
      <c r="E226" t="e">
        <f t="shared" si="3"/>
        <v>#N/A</v>
      </c>
    </row>
    <row r="227" spans="4:5" x14ac:dyDescent="0.25">
      <c r="D227" t="str">
        <f t="array" ref="D227">IFERROR(INDEX(B227:B249,MATCH(0,COUNTIF($D$1:D226,B227:B249),0)),"")</f>
        <v/>
      </c>
      <c r="E227" t="e">
        <f t="shared" si="3"/>
        <v>#N/A</v>
      </c>
    </row>
    <row r="228" spans="4:5" x14ac:dyDescent="0.25">
      <c r="D228" t="str">
        <f t="array" ref="D228">IFERROR(INDEX(B228:B250,MATCH(0,COUNTIF($D$1:D227,B228:B250),0)),"")</f>
        <v/>
      </c>
      <c r="E228" t="e">
        <f t="shared" si="3"/>
        <v>#N/A</v>
      </c>
    </row>
    <row r="229" spans="4:5" x14ac:dyDescent="0.25">
      <c r="D229" t="str">
        <f t="array" ref="D229">IFERROR(INDEX(B229:B251,MATCH(0,COUNTIF($D$1:D228,B229:B251),0)),"")</f>
        <v/>
      </c>
      <c r="E229" t="e">
        <f t="shared" si="3"/>
        <v>#N/A</v>
      </c>
    </row>
    <row r="230" spans="4:5" x14ac:dyDescent="0.25">
      <c r="D230" t="str">
        <f t="array" ref="D230">IFERROR(INDEX(B230:B252,MATCH(0,COUNTIF($D$1:D229,B230:B252),0)),"")</f>
        <v/>
      </c>
      <c r="E230" t="e">
        <f t="shared" si="3"/>
        <v>#N/A</v>
      </c>
    </row>
    <row r="231" spans="4:5" x14ac:dyDescent="0.25">
      <c r="D231" t="str">
        <f t="array" ref="D231">IFERROR(INDEX(B231:B253,MATCH(0,COUNTIF($D$1:D230,B231:B253),0)),"")</f>
        <v/>
      </c>
      <c r="E231" t="e">
        <f t="shared" si="3"/>
        <v>#N/A</v>
      </c>
    </row>
    <row r="232" spans="4:5" x14ac:dyDescent="0.25">
      <c r="D232" t="str">
        <f t="array" ref="D232">IFERROR(INDEX(B232:B254,MATCH(0,COUNTIF($D$1:D231,B232:B254),0)),"")</f>
        <v/>
      </c>
      <c r="E232" t="e">
        <f t="shared" si="3"/>
        <v>#N/A</v>
      </c>
    </row>
    <row r="233" spans="4:5" x14ac:dyDescent="0.25">
      <c r="D233" t="str">
        <f t="array" ref="D233">IFERROR(INDEX(B233:B255,MATCH(0,COUNTIF($D$1:D232,B233:B255),0)),"")</f>
        <v/>
      </c>
      <c r="E233" t="e">
        <f t="shared" si="3"/>
        <v>#N/A</v>
      </c>
    </row>
    <row r="234" spans="4:5" x14ac:dyDescent="0.25">
      <c r="D234" t="str">
        <f t="array" ref="D234">IFERROR(INDEX(B234:B256,MATCH(0,COUNTIF($D$1:D233,B234:B256),0)),"")</f>
        <v/>
      </c>
      <c r="E234" t="e">
        <f t="shared" si="3"/>
        <v>#N/A</v>
      </c>
    </row>
    <row r="235" spans="4:5" x14ac:dyDescent="0.25">
      <c r="D235" t="str">
        <f t="array" ref="D235">IFERROR(INDEX(B235:B257,MATCH(0,COUNTIF($D$1:D234,B235:B257),0)),"")</f>
        <v/>
      </c>
      <c r="E235" t="e">
        <f t="shared" si="3"/>
        <v>#N/A</v>
      </c>
    </row>
    <row r="236" spans="4:5" x14ac:dyDescent="0.25">
      <c r="D236" t="str">
        <f t="array" ref="D236">IFERROR(INDEX(B236:B258,MATCH(0,COUNTIF($D$1:D235,B236:B258),0)),"")</f>
        <v/>
      </c>
      <c r="E236" t="e">
        <f t="shared" si="3"/>
        <v>#N/A</v>
      </c>
    </row>
    <row r="237" spans="4:5" x14ac:dyDescent="0.25">
      <c r="D237" t="str">
        <f t="array" ref="D237">IFERROR(INDEX(B237:B259,MATCH(0,COUNTIF($D$1:D236,B237:B259),0)),"")</f>
        <v/>
      </c>
      <c r="E237" t="e">
        <f t="shared" si="3"/>
        <v>#N/A</v>
      </c>
    </row>
    <row r="238" spans="4:5" x14ac:dyDescent="0.25">
      <c r="D238" t="str">
        <f t="array" ref="D238">IFERROR(INDEX(B238:B260,MATCH(0,COUNTIF($D$1:D237,B238:B260),0)),"")</f>
        <v/>
      </c>
      <c r="E238" t="e">
        <f t="shared" si="3"/>
        <v>#N/A</v>
      </c>
    </row>
    <row r="239" spans="4:5" x14ac:dyDescent="0.25">
      <c r="D239" t="str">
        <f t="array" ref="D239">IFERROR(INDEX(B239:B261,MATCH(0,COUNTIF($D$1:D238,B239:B261),0)),"")</f>
        <v/>
      </c>
      <c r="E239" t="e">
        <f t="shared" si="3"/>
        <v>#N/A</v>
      </c>
    </row>
    <row r="240" spans="4:5" x14ac:dyDescent="0.25">
      <c r="D240" t="str">
        <f t="array" ref="D240">IFERROR(INDEX(B240:B262,MATCH(0,COUNTIF($D$1:D239,B240:B262),0)),"")</f>
        <v/>
      </c>
      <c r="E240" t="e">
        <f t="shared" si="3"/>
        <v>#N/A</v>
      </c>
    </row>
    <row r="241" spans="4:5" x14ac:dyDescent="0.25">
      <c r="D241" t="str">
        <f t="array" ref="D241">IFERROR(INDEX(B241:B263,MATCH(0,COUNTIF($D$1:D240,B241:B263),0)),"")</f>
        <v/>
      </c>
      <c r="E241" t="e">
        <f t="shared" si="3"/>
        <v>#N/A</v>
      </c>
    </row>
    <row r="242" spans="4:5" x14ac:dyDescent="0.25">
      <c r="D242" t="str">
        <f t="array" ref="D242">IFERROR(INDEX(B242:B264,MATCH(0,COUNTIF($D$1:D241,B242:B264),0)),"")</f>
        <v/>
      </c>
      <c r="E242" t="e">
        <f t="shared" si="3"/>
        <v>#N/A</v>
      </c>
    </row>
    <row r="243" spans="4:5" x14ac:dyDescent="0.25">
      <c r="D243" t="str">
        <f t="array" ref="D243">IFERROR(INDEX(B243:B265,MATCH(0,COUNTIF($D$1:D242,B243:B265),0)),"")</f>
        <v/>
      </c>
      <c r="E243" t="e">
        <f t="shared" si="3"/>
        <v>#N/A</v>
      </c>
    </row>
    <row r="244" spans="4:5" x14ac:dyDescent="0.25">
      <c r="D244" t="str">
        <f t="array" ref="D244">IFERROR(INDEX(B244:B266,MATCH(0,COUNTIF($D$1:D243,B244:B266),0)),"")</f>
        <v/>
      </c>
      <c r="E244" t="e">
        <f t="shared" si="3"/>
        <v>#N/A</v>
      </c>
    </row>
    <row r="245" spans="4:5" x14ac:dyDescent="0.25">
      <c r="D245" t="str">
        <f t="array" ref="D245">IFERROR(INDEX(B245:B267,MATCH(0,COUNTIF($D$1:D244,B245:B267),0)),"")</f>
        <v/>
      </c>
      <c r="E245" t="e">
        <f t="shared" si="3"/>
        <v>#N/A</v>
      </c>
    </row>
    <row r="246" spans="4:5" x14ac:dyDescent="0.25">
      <c r="D246" t="str">
        <f t="array" ref="D246">IFERROR(INDEX(B246:B268,MATCH(0,COUNTIF($D$1:D245,B246:B268),0)),"")</f>
        <v/>
      </c>
      <c r="E246" t="e">
        <f t="shared" si="3"/>
        <v>#N/A</v>
      </c>
    </row>
    <row r="247" spans="4:5" x14ac:dyDescent="0.25">
      <c r="D247" t="str">
        <f t="array" ref="D247">IFERROR(INDEX(B247:B269,MATCH(0,COUNTIF($D$1:D246,B247:B269),0)),"")</f>
        <v/>
      </c>
      <c r="E247" t="e">
        <f t="shared" si="3"/>
        <v>#N/A</v>
      </c>
    </row>
    <row r="248" spans="4:5" x14ac:dyDescent="0.25">
      <c r="D248" t="str">
        <f t="array" ref="D248">IFERROR(INDEX(B248:B270,MATCH(0,COUNTIF($D$1:D247,B248:B270),0)),"")</f>
        <v/>
      </c>
      <c r="E248" t="e">
        <f t="shared" si="3"/>
        <v>#N/A</v>
      </c>
    </row>
    <row r="249" spans="4:5" x14ac:dyDescent="0.25">
      <c r="D249" t="str">
        <f t="array" ref="D249">IFERROR(INDEX(B249:B271,MATCH(0,COUNTIF($D$1:D248,B249:B271),0)),"")</f>
        <v/>
      </c>
      <c r="E249" t="e">
        <f t="shared" si="3"/>
        <v>#N/A</v>
      </c>
    </row>
    <row r="250" spans="4:5" x14ac:dyDescent="0.25">
      <c r="D250" t="str">
        <f t="array" ref="D250">IFERROR(INDEX(B250:B272,MATCH(0,COUNTIF($D$1:D249,B250:B272),0)),"")</f>
        <v/>
      </c>
      <c r="E250" t="e">
        <f t="shared" si="3"/>
        <v>#N/A</v>
      </c>
    </row>
    <row r="251" spans="4:5" x14ac:dyDescent="0.25">
      <c r="D251" t="str">
        <f t="array" ref="D251">IFERROR(INDEX(B251:B273,MATCH(0,COUNTIF($D$1:D250,B251:B273),0)),"")</f>
        <v/>
      </c>
      <c r="E251" t="e">
        <f t="shared" si="3"/>
        <v>#N/A</v>
      </c>
    </row>
    <row r="252" spans="4:5" x14ac:dyDescent="0.25">
      <c r="D252" t="str">
        <f t="array" ref="D252">IFERROR(INDEX(B252:B274,MATCH(0,COUNTIF($D$1:D251,B252:B274),0)),"")</f>
        <v/>
      </c>
      <c r="E252" t="e">
        <f t="shared" si="3"/>
        <v>#N/A</v>
      </c>
    </row>
    <row r="253" spans="4:5" x14ac:dyDescent="0.25">
      <c r="D253" t="str">
        <f t="array" ref="D253">IFERROR(INDEX(B253:B275,MATCH(0,COUNTIF($D$1:D252,B253:B275),0)),"")</f>
        <v/>
      </c>
      <c r="E253" t="e">
        <f t="shared" si="3"/>
        <v>#N/A</v>
      </c>
    </row>
    <row r="254" spans="4:5" x14ac:dyDescent="0.25">
      <c r="D254" t="str">
        <f t="array" ref="D254">IFERROR(INDEX(B254:B276,MATCH(0,COUNTIF($D$1:D253,B254:B276),0)),"")</f>
        <v/>
      </c>
      <c r="E254" t="e">
        <f t="shared" si="3"/>
        <v>#N/A</v>
      </c>
    </row>
    <row r="255" spans="4:5" x14ac:dyDescent="0.25">
      <c r="D255" t="str">
        <f t="array" ref="D255">IFERROR(INDEX(B255:B277,MATCH(0,COUNTIF($D$1:D254,B255:B277),0)),"")</f>
        <v/>
      </c>
      <c r="E255" t="e">
        <f t="shared" si="3"/>
        <v>#N/A</v>
      </c>
    </row>
    <row r="256" spans="4:5" x14ac:dyDescent="0.25">
      <c r="D256" t="str">
        <f t="array" ref="D256">IFERROR(INDEX(B256:B278,MATCH(0,COUNTIF($D$1:D255,B256:B278),0)),"")</f>
        <v/>
      </c>
      <c r="E256" t="e">
        <f t="shared" si="3"/>
        <v>#N/A</v>
      </c>
    </row>
    <row r="257" spans="4:5" x14ac:dyDescent="0.25">
      <c r="D257" t="str">
        <f t="array" ref="D257">IFERROR(INDEX(B257:B279,MATCH(0,COUNTIF($D$1:D256,B257:B279),0)),"")</f>
        <v/>
      </c>
      <c r="E257" t="e">
        <f t="shared" si="3"/>
        <v>#N/A</v>
      </c>
    </row>
    <row r="258" spans="4:5" x14ac:dyDescent="0.25">
      <c r="D258" t="str">
        <f t="array" ref="D258">IFERROR(INDEX(B258:B280,MATCH(0,COUNTIF($D$1:D257,B258:B280),0)),"")</f>
        <v/>
      </c>
      <c r="E258" t="e">
        <f t="shared" si="3"/>
        <v>#N/A</v>
      </c>
    </row>
    <row r="259" spans="4:5" x14ac:dyDescent="0.25">
      <c r="D259" t="str">
        <f t="array" ref="D259">IFERROR(INDEX(B259:B281,MATCH(0,COUNTIF($D$1:D258,B259:B281),0)),"")</f>
        <v/>
      </c>
      <c r="E259" t="e">
        <f t="shared" ref="E259:E300" si="4">+INDEX($B$2:$C$1500,MATCH(D259,$B$2:$B$1500,0),2)</f>
        <v>#N/A</v>
      </c>
    </row>
    <row r="260" spans="4:5" x14ac:dyDescent="0.25">
      <c r="D260" t="str">
        <f t="array" ref="D260">IFERROR(INDEX(B260:B282,MATCH(0,COUNTIF($D$1:D259,B260:B282),0)),"")</f>
        <v/>
      </c>
      <c r="E260" t="e">
        <f t="shared" si="4"/>
        <v>#N/A</v>
      </c>
    </row>
    <row r="261" spans="4:5" x14ac:dyDescent="0.25">
      <c r="D261" t="str">
        <f t="array" ref="D261">IFERROR(INDEX(B261:B283,MATCH(0,COUNTIF($D$1:D260,B261:B283),0)),"")</f>
        <v/>
      </c>
      <c r="E261" t="e">
        <f t="shared" si="4"/>
        <v>#N/A</v>
      </c>
    </row>
    <row r="262" spans="4:5" x14ac:dyDescent="0.25">
      <c r="D262" t="str">
        <f t="array" ref="D262">IFERROR(INDEX(B262:B284,MATCH(0,COUNTIF($D$1:D261,B262:B284),0)),"")</f>
        <v/>
      </c>
      <c r="E262" t="e">
        <f t="shared" si="4"/>
        <v>#N/A</v>
      </c>
    </row>
    <row r="263" spans="4:5" x14ac:dyDescent="0.25">
      <c r="D263" t="str">
        <f t="array" ref="D263">IFERROR(INDEX(B263:B285,MATCH(0,COUNTIF($D$1:D262,B263:B285),0)),"")</f>
        <v/>
      </c>
      <c r="E263" t="e">
        <f t="shared" si="4"/>
        <v>#N/A</v>
      </c>
    </row>
    <row r="264" spans="4:5" x14ac:dyDescent="0.25">
      <c r="D264" t="str">
        <f t="array" ref="D264">IFERROR(INDEX(B264:B286,MATCH(0,COUNTIF($D$1:D263,B264:B286),0)),"")</f>
        <v/>
      </c>
      <c r="E264" t="e">
        <f t="shared" si="4"/>
        <v>#N/A</v>
      </c>
    </row>
    <row r="265" spans="4:5" x14ac:dyDescent="0.25">
      <c r="D265" t="str">
        <f t="array" ref="D265">IFERROR(INDEX(B265:B287,MATCH(0,COUNTIF($D$1:D264,B265:B287),0)),"")</f>
        <v/>
      </c>
      <c r="E265" t="e">
        <f t="shared" si="4"/>
        <v>#N/A</v>
      </c>
    </row>
    <row r="266" spans="4:5" x14ac:dyDescent="0.25">
      <c r="D266" t="str">
        <f t="array" ref="D266">IFERROR(INDEX(B266:B288,MATCH(0,COUNTIF($D$1:D265,B266:B288),0)),"")</f>
        <v/>
      </c>
      <c r="E266" t="e">
        <f t="shared" si="4"/>
        <v>#N/A</v>
      </c>
    </row>
    <row r="267" spans="4:5" x14ac:dyDescent="0.25">
      <c r="D267" t="str">
        <f t="array" ref="D267">IFERROR(INDEX(B267:B289,MATCH(0,COUNTIF($D$1:D266,B267:B289),0)),"")</f>
        <v/>
      </c>
      <c r="E267" t="e">
        <f t="shared" si="4"/>
        <v>#N/A</v>
      </c>
    </row>
    <row r="268" spans="4:5" x14ac:dyDescent="0.25">
      <c r="D268" t="str">
        <f t="array" ref="D268">IFERROR(INDEX(B268:B290,MATCH(0,COUNTIF($D$1:D267,B268:B290),0)),"")</f>
        <v/>
      </c>
      <c r="E268" t="e">
        <f t="shared" si="4"/>
        <v>#N/A</v>
      </c>
    </row>
    <row r="269" spans="4:5" x14ac:dyDescent="0.25">
      <c r="D269" t="str">
        <f t="array" ref="D269">IFERROR(INDEX(B269:B291,MATCH(0,COUNTIF($D$1:D268,B269:B291),0)),"")</f>
        <v/>
      </c>
      <c r="E269" t="e">
        <f t="shared" si="4"/>
        <v>#N/A</v>
      </c>
    </row>
    <row r="270" spans="4:5" x14ac:dyDescent="0.25">
      <c r="D270" t="str">
        <f t="array" ref="D270">IFERROR(INDEX(B270:B292,MATCH(0,COUNTIF($D$1:D269,B270:B292),0)),"")</f>
        <v/>
      </c>
      <c r="E270" t="e">
        <f t="shared" si="4"/>
        <v>#N/A</v>
      </c>
    </row>
    <row r="271" spans="4:5" x14ac:dyDescent="0.25">
      <c r="D271" t="str">
        <f t="array" ref="D271">IFERROR(INDEX(B271:B293,MATCH(0,COUNTIF($D$1:D270,B271:B293),0)),"")</f>
        <v/>
      </c>
      <c r="E271" t="e">
        <f t="shared" si="4"/>
        <v>#N/A</v>
      </c>
    </row>
    <row r="272" spans="4:5" x14ac:dyDescent="0.25">
      <c r="D272" t="str">
        <f t="array" ref="D272">IFERROR(INDEX(B272:B294,MATCH(0,COUNTIF($D$1:D271,B272:B294),0)),"")</f>
        <v/>
      </c>
      <c r="E272" t="e">
        <f t="shared" si="4"/>
        <v>#N/A</v>
      </c>
    </row>
    <row r="273" spans="4:5" x14ac:dyDescent="0.25">
      <c r="D273" t="str">
        <f t="array" ref="D273">IFERROR(INDEX(B273:B295,MATCH(0,COUNTIF($D$1:D272,B273:B295),0)),"")</f>
        <v/>
      </c>
      <c r="E273" t="e">
        <f t="shared" si="4"/>
        <v>#N/A</v>
      </c>
    </row>
    <row r="274" spans="4:5" x14ac:dyDescent="0.25">
      <c r="D274" t="str">
        <f t="array" ref="D274">IFERROR(INDEX(B274:B296,MATCH(0,COUNTIF($D$1:D273,B274:B296),0)),"")</f>
        <v/>
      </c>
      <c r="E274" t="e">
        <f t="shared" si="4"/>
        <v>#N/A</v>
      </c>
    </row>
    <row r="275" spans="4:5" x14ac:dyDescent="0.25">
      <c r="D275" t="str">
        <f t="array" ref="D275">IFERROR(INDEX(B275:B297,MATCH(0,COUNTIF($D$1:D274,B275:B297),0)),"")</f>
        <v/>
      </c>
      <c r="E275" t="e">
        <f t="shared" si="4"/>
        <v>#N/A</v>
      </c>
    </row>
    <row r="276" spans="4:5" x14ac:dyDescent="0.25">
      <c r="D276" t="str">
        <f t="array" ref="D276">IFERROR(INDEX(B276:B298,MATCH(0,COUNTIF($D$1:D275,B276:B298),0)),"")</f>
        <v/>
      </c>
      <c r="E276" t="e">
        <f t="shared" si="4"/>
        <v>#N/A</v>
      </c>
    </row>
    <row r="277" spans="4:5" x14ac:dyDescent="0.25">
      <c r="D277" t="str">
        <f t="array" ref="D277">IFERROR(INDEX(B277:B299,MATCH(0,COUNTIF($D$1:D276,B277:B299),0)),"")</f>
        <v/>
      </c>
      <c r="E277" t="e">
        <f t="shared" si="4"/>
        <v>#N/A</v>
      </c>
    </row>
    <row r="278" spans="4:5" x14ac:dyDescent="0.25">
      <c r="D278" t="str">
        <f t="array" ref="D278">IFERROR(INDEX(B278:B300,MATCH(0,COUNTIF($D$1:D277,B278:B300),0)),"")</f>
        <v/>
      </c>
      <c r="E278" t="e">
        <f t="shared" si="4"/>
        <v>#N/A</v>
      </c>
    </row>
    <row r="279" spans="4:5" x14ac:dyDescent="0.25">
      <c r="D279" t="str">
        <f t="array" ref="D279">IFERROR(INDEX(B279:B301,MATCH(0,COUNTIF($D$1:D278,B279:B301),0)),"")</f>
        <v/>
      </c>
      <c r="E279" t="e">
        <f t="shared" si="4"/>
        <v>#N/A</v>
      </c>
    </row>
    <row r="280" spans="4:5" x14ac:dyDescent="0.25">
      <c r="D280" t="str">
        <f t="array" ref="D280">IFERROR(INDEX(B280:B302,MATCH(0,COUNTIF($D$1:D279,B280:B302),0)),"")</f>
        <v/>
      </c>
      <c r="E280" t="e">
        <f t="shared" si="4"/>
        <v>#N/A</v>
      </c>
    </row>
    <row r="281" spans="4:5" x14ac:dyDescent="0.25">
      <c r="D281" t="str">
        <f t="array" ref="D281">IFERROR(INDEX(B281:B303,MATCH(0,COUNTIF($D$1:D280,B281:B303),0)),"")</f>
        <v/>
      </c>
      <c r="E281" t="e">
        <f t="shared" si="4"/>
        <v>#N/A</v>
      </c>
    </row>
    <row r="282" spans="4:5" x14ac:dyDescent="0.25">
      <c r="D282" t="str">
        <f t="array" ref="D282">IFERROR(INDEX(B282:B304,MATCH(0,COUNTIF($D$1:D281,B282:B304),0)),"")</f>
        <v/>
      </c>
      <c r="E282" t="e">
        <f t="shared" si="4"/>
        <v>#N/A</v>
      </c>
    </row>
    <row r="283" spans="4:5" x14ac:dyDescent="0.25">
      <c r="D283" t="str">
        <f t="array" ref="D283">IFERROR(INDEX(B283:B305,MATCH(0,COUNTIF($D$1:D282,B283:B305),0)),"")</f>
        <v/>
      </c>
      <c r="E283" t="e">
        <f t="shared" si="4"/>
        <v>#N/A</v>
      </c>
    </row>
    <row r="284" spans="4:5" x14ac:dyDescent="0.25">
      <c r="D284" t="str">
        <f t="array" ref="D284">IFERROR(INDEX(B284:B306,MATCH(0,COUNTIF($D$1:D283,B284:B306),0)),"")</f>
        <v/>
      </c>
      <c r="E284" t="e">
        <f t="shared" si="4"/>
        <v>#N/A</v>
      </c>
    </row>
    <row r="285" spans="4:5" x14ac:dyDescent="0.25">
      <c r="D285" t="str">
        <f t="array" ref="D285">IFERROR(INDEX(B285:B307,MATCH(0,COUNTIF($D$1:D284,B285:B307),0)),"")</f>
        <v/>
      </c>
      <c r="E285" t="e">
        <f t="shared" si="4"/>
        <v>#N/A</v>
      </c>
    </row>
    <row r="286" spans="4:5" x14ac:dyDescent="0.25">
      <c r="D286" t="str">
        <f t="array" ref="D286">IFERROR(INDEX(B286:B308,MATCH(0,COUNTIF($D$1:D285,B286:B308),0)),"")</f>
        <v/>
      </c>
      <c r="E286" t="e">
        <f t="shared" si="4"/>
        <v>#N/A</v>
      </c>
    </row>
    <row r="287" spans="4:5" x14ac:dyDescent="0.25">
      <c r="D287" t="str">
        <f t="array" ref="D287">IFERROR(INDEX(B287:B309,MATCH(0,COUNTIF($D$1:D286,B287:B309),0)),"")</f>
        <v/>
      </c>
      <c r="E287" t="e">
        <f t="shared" si="4"/>
        <v>#N/A</v>
      </c>
    </row>
    <row r="288" spans="4:5" x14ac:dyDescent="0.25">
      <c r="D288" t="str">
        <f t="array" ref="D288">IFERROR(INDEX(B288:B310,MATCH(0,COUNTIF($D$1:D287,B288:B310),0)),"")</f>
        <v/>
      </c>
      <c r="E288" t="e">
        <f t="shared" si="4"/>
        <v>#N/A</v>
      </c>
    </row>
    <row r="289" spans="4:5" x14ac:dyDescent="0.25">
      <c r="D289" t="str">
        <f t="array" ref="D289">IFERROR(INDEX(B289:B311,MATCH(0,COUNTIF($D$1:D288,B289:B311),0)),"")</f>
        <v/>
      </c>
      <c r="E289" t="e">
        <f t="shared" si="4"/>
        <v>#N/A</v>
      </c>
    </row>
    <row r="290" spans="4:5" x14ac:dyDescent="0.25">
      <c r="D290" t="str">
        <f t="array" ref="D290">IFERROR(INDEX(B290:B312,MATCH(0,COUNTIF($D$1:D289,B290:B312),0)),"")</f>
        <v/>
      </c>
      <c r="E290" t="e">
        <f t="shared" si="4"/>
        <v>#N/A</v>
      </c>
    </row>
    <row r="291" spans="4:5" x14ac:dyDescent="0.25">
      <c r="D291" t="str">
        <f t="array" ref="D291">IFERROR(INDEX(B291:B313,MATCH(0,COUNTIF($D$1:D290,B291:B313),0)),"")</f>
        <v/>
      </c>
      <c r="E291" t="e">
        <f t="shared" si="4"/>
        <v>#N/A</v>
      </c>
    </row>
    <row r="292" spans="4:5" x14ac:dyDescent="0.25">
      <c r="D292" t="str">
        <f t="array" ref="D292">IFERROR(INDEX(B292:B314,MATCH(0,COUNTIF($D$1:D291,B292:B314),0)),"")</f>
        <v/>
      </c>
      <c r="E292" t="e">
        <f t="shared" si="4"/>
        <v>#N/A</v>
      </c>
    </row>
    <row r="293" spans="4:5" x14ac:dyDescent="0.25">
      <c r="D293" t="str">
        <f t="array" ref="D293">IFERROR(INDEX(B293:B315,MATCH(0,COUNTIF($D$1:D292,B293:B315),0)),"")</f>
        <v/>
      </c>
      <c r="E293" t="e">
        <f t="shared" si="4"/>
        <v>#N/A</v>
      </c>
    </row>
    <row r="294" spans="4:5" x14ac:dyDescent="0.25">
      <c r="D294" t="str">
        <f t="array" ref="D294">IFERROR(INDEX(B294:B316,MATCH(0,COUNTIF($D$1:D293,B294:B316),0)),"")</f>
        <v/>
      </c>
      <c r="E294" t="e">
        <f t="shared" si="4"/>
        <v>#N/A</v>
      </c>
    </row>
    <row r="295" spans="4:5" x14ac:dyDescent="0.25">
      <c r="D295" t="str">
        <f t="array" ref="D295">IFERROR(INDEX(B295:B317,MATCH(0,COUNTIF($D$1:D294,B295:B317),0)),"")</f>
        <v/>
      </c>
      <c r="E295" t="e">
        <f t="shared" si="4"/>
        <v>#N/A</v>
      </c>
    </row>
    <row r="296" spans="4:5" x14ac:dyDescent="0.25">
      <c r="D296" t="str">
        <f t="array" ref="D296">IFERROR(INDEX(B296:B318,MATCH(0,COUNTIF($D$1:D295,B296:B318),0)),"")</f>
        <v/>
      </c>
      <c r="E296" t="e">
        <f t="shared" si="4"/>
        <v>#N/A</v>
      </c>
    </row>
    <row r="297" spans="4:5" x14ac:dyDescent="0.25">
      <c r="D297" t="str">
        <f t="array" ref="D297">IFERROR(INDEX(B297:B319,MATCH(0,COUNTIF($D$1:D296,B297:B319),0)),"")</f>
        <v/>
      </c>
      <c r="E297" t="e">
        <f t="shared" si="4"/>
        <v>#N/A</v>
      </c>
    </row>
    <row r="298" spans="4:5" x14ac:dyDescent="0.25">
      <c r="D298" t="str">
        <f t="array" ref="D298">IFERROR(INDEX(B298:B320,MATCH(0,COUNTIF($D$1:D297,B298:B320),0)),"")</f>
        <v/>
      </c>
      <c r="E298" t="e">
        <f t="shared" si="4"/>
        <v>#N/A</v>
      </c>
    </row>
    <row r="299" spans="4:5" x14ac:dyDescent="0.25">
      <c r="D299" t="str">
        <f t="array" ref="D299">IFERROR(INDEX(B299:B321,MATCH(0,COUNTIF($D$1:D298,B299:B321),0)),"")</f>
        <v/>
      </c>
      <c r="E299" t="e">
        <f t="shared" si="4"/>
        <v>#N/A</v>
      </c>
    </row>
    <row r="300" spans="4:5" x14ac:dyDescent="0.25">
      <c r="D300" t="str">
        <f t="array" ref="D300">IFERROR(INDEX(B300:B322,MATCH(0,COUNTIF($D$1:D299,B300:B322),0)),"")</f>
        <v/>
      </c>
      <c r="E300" t="e">
        <f t="shared" si="4"/>
        <v>#N/A</v>
      </c>
    </row>
  </sheetData>
  <conditionalFormatting sqref="B1:B1048576">
    <cfRule type="expression" dxfId="0" priority="1">
      <formula>+COUNTIFS($A:$A,A1,$B:$B,B1)&gt;1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Sheet1</vt:lpstr>
      <vt:lpstr>MAR-21</vt:lpstr>
      <vt:lpstr>APR-21</vt:lpstr>
      <vt:lpstr>MAY-21</vt:lpstr>
      <vt:lpstr>JUN-21</vt:lpstr>
      <vt:lpstr>JUL-21</vt:lpstr>
      <vt:lpstr>AUG-21</vt:lpstr>
      <vt:lpstr>SEP-21</vt:lpstr>
      <vt:lpstr>OCT-21</vt:lpstr>
      <vt:lpstr>NOV-21</vt:lpstr>
      <vt:lpstr>DEC-21</vt:lpstr>
      <vt:lpstr>JAN-22</vt:lpstr>
      <vt:lpstr>FEB-22</vt:lpstr>
      <vt:lpstr>SUPP</vt:lpstr>
      <vt:lpstr>EMP NAMES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2026-03-28T02:16:14Z</dcterms:modified>
</cp:coreProperties>
</file>