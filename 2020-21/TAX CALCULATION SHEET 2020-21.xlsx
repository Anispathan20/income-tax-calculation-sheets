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620"/>
  </bookViews>
  <sheets>
    <sheet name="Sheet1" sheetId="3" r:id="rId1"/>
  </sheets>
  <definedNames>
    <definedName name="_xlnm.Print_Area" localSheetId="0">Sheet1!$A$1:$R$41</definedName>
  </definedNames>
  <calcPr calcId="162913"/>
</workbook>
</file>

<file path=xl/calcChain.xml><?xml version="1.0" encoding="utf-8"?>
<calcChain xmlns="http://schemas.openxmlformats.org/spreadsheetml/2006/main">
  <c r="Q19" i="3" l="1"/>
  <c r="L7" i="3" l="1"/>
  <c r="L8" i="3"/>
  <c r="L9" i="3"/>
  <c r="L10" i="3"/>
  <c r="L11" i="3"/>
  <c r="L12" i="3"/>
  <c r="L13" i="3"/>
  <c r="L14" i="3"/>
  <c r="L15" i="3"/>
  <c r="L16" i="3"/>
  <c r="L17" i="3"/>
  <c r="L6" i="3"/>
  <c r="J40" i="3" l="1"/>
  <c r="N30" i="3"/>
  <c r="O19" i="3"/>
  <c r="J23" i="3" s="1"/>
  <c r="N19" i="3"/>
  <c r="E25" i="3" s="1"/>
  <c r="E28" i="3" s="1"/>
  <c r="M19" i="3"/>
  <c r="K19" i="3"/>
  <c r="J34" i="3" s="1"/>
  <c r="J19" i="3"/>
  <c r="I19" i="3"/>
  <c r="H19" i="3"/>
  <c r="G19" i="3"/>
  <c r="F19" i="3"/>
  <c r="E19" i="3"/>
  <c r="D19" i="3"/>
  <c r="L18" i="3"/>
  <c r="P17" i="3"/>
  <c r="P16" i="3"/>
  <c r="P19" i="3" s="1"/>
  <c r="L19" i="3"/>
  <c r="E21" i="3" s="1"/>
  <c r="J22" i="3" l="1"/>
  <c r="N23" i="3"/>
  <c r="J31" i="3"/>
  <c r="J30" i="3"/>
  <c r="E29" i="3"/>
  <c r="N21" i="3" l="1"/>
  <c r="N22" i="3" s="1"/>
  <c r="N25" i="3" l="1"/>
  <c r="L1" i="3"/>
  <c r="N26" i="3" l="1"/>
  <c r="N27" i="3" s="1"/>
  <c r="N28" i="3" l="1"/>
  <c r="N29" i="3" s="1"/>
  <c r="N32" i="3" s="1"/>
</calcChain>
</file>

<file path=xl/sharedStrings.xml><?xml version="1.0" encoding="utf-8"?>
<sst xmlns="http://schemas.openxmlformats.org/spreadsheetml/2006/main" count="80" uniqueCount="69">
  <si>
    <t>DA</t>
  </si>
  <si>
    <t>HRA</t>
  </si>
  <si>
    <t xml:space="preserve">GROSS SALARY </t>
  </si>
  <si>
    <t>P.T.</t>
  </si>
  <si>
    <t>G.I.S.</t>
  </si>
  <si>
    <t>Total Tax Payable</t>
  </si>
  <si>
    <t>NAME</t>
  </si>
  <si>
    <t>DESIGNATION</t>
  </si>
  <si>
    <t>PAN NO.</t>
  </si>
  <si>
    <t>:</t>
  </si>
  <si>
    <t>FINANCIAL YEAR</t>
  </si>
  <si>
    <t>PAY MONTH</t>
  </si>
  <si>
    <t>Taxable Income</t>
  </si>
  <si>
    <t>LESS :</t>
  </si>
  <si>
    <t>Professional Tax</t>
  </si>
  <si>
    <t>Total Deductions</t>
  </si>
  <si>
    <t xml:space="preserve">BALANCE </t>
  </si>
  <si>
    <t>SAVINGS U/S. 80C</t>
  </si>
  <si>
    <t>L.I.C. [Individual]</t>
  </si>
  <si>
    <t>Housing Loan Principal</t>
  </si>
  <si>
    <t>Public Provident Fund</t>
  </si>
  <si>
    <t>Eligible Savings</t>
  </si>
  <si>
    <t>House Loan Int.</t>
  </si>
  <si>
    <t>Tax on Total Inc.</t>
  </si>
  <si>
    <t>M</t>
  </si>
  <si>
    <t>i)</t>
  </si>
  <si>
    <t>ii)</t>
  </si>
  <si>
    <t>iii)</t>
  </si>
  <si>
    <t>iv</t>
  </si>
  <si>
    <t>v)</t>
  </si>
  <si>
    <t>vi)</t>
  </si>
  <si>
    <t>vii)</t>
  </si>
  <si>
    <t>viii)</t>
  </si>
  <si>
    <t>Total Savings</t>
  </si>
  <si>
    <t>(-) : Rebate 87</t>
  </si>
  <si>
    <t>SR.</t>
  </si>
  <si>
    <t>Tax Payable</t>
  </si>
  <si>
    <t>(-) Already paid</t>
  </si>
  <si>
    <t>Other Allowances</t>
  </si>
  <si>
    <t>TA</t>
  </si>
  <si>
    <t>I. TAX</t>
  </si>
  <si>
    <t>(+) 4% Edu.Cess</t>
  </si>
  <si>
    <t>L.I.C. [Salary]</t>
  </si>
  <si>
    <t>Basic</t>
  </si>
  <si>
    <t>CHAPTER VIA</t>
  </si>
  <si>
    <t>NPS</t>
  </si>
  <si>
    <t>GPF/DCPS</t>
  </si>
  <si>
    <t>NPS - Employer Contribution</t>
  </si>
  <si>
    <t>G.P.F./N.P.S</t>
  </si>
  <si>
    <t>Std. Ded. (U/s. 16(ia))</t>
  </si>
  <si>
    <t>Education Fees</t>
  </si>
  <si>
    <t>ARREARS</t>
  </si>
  <si>
    <t>GIS</t>
  </si>
  <si>
    <t>CLA</t>
  </si>
  <si>
    <t>HSG. PRIN./INT</t>
  </si>
  <si>
    <t>F.A./Exc.Pay</t>
  </si>
  <si>
    <t>Mutual Fund</t>
  </si>
  <si>
    <t>OLD TAX REGIME</t>
  </si>
  <si>
    <t>NEW TAX REGIME</t>
  </si>
  <si>
    <t>GN</t>
  </si>
  <si>
    <t>NEW</t>
  </si>
  <si>
    <t>01/04/2020  TO  31/03/2021</t>
  </si>
  <si>
    <t>80D-Mediclaim</t>
  </si>
  <si>
    <t>80DD/DDB-Med.Exps.</t>
  </si>
  <si>
    <t>80G-Donation</t>
  </si>
  <si>
    <t>80U-Handicapped Self</t>
  </si>
  <si>
    <t>80E-Edu.Loan.Interest</t>
  </si>
  <si>
    <t>Other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</si>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</sst>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1" x14ac:knownFonts="1"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sz val="10"/>
      <name val="Franklin Gothic Book"/>
      <family val="2"/>
    </font>
    <font>
      <sz val="9"/>
      <name val="Franklin Gothic Book"/>
      <family val="2"/>
    </font>
    <font>
      <sz val="11"/>
      <color theme="1"/>
      <name val="Franklin Gothic Book"/>
      <family val="2"/>
    </font>
    <font>
      <sz val="11"/>
      <color theme="0"/>
      <name val="Franklin Gothic Book"/>
      <family val="2"/>
    </font>
    <font>
      <b/>
      <u/>
      <sz val="11"/>
      <color theme="1"/>
      <name val="Franklin Gothic Book"/>
      <family val="2"/>
    </font>
    <font>
      <u/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rgb="FFFF000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17" fontId="5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" fontId="5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17" fontId="1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1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right" vertical="center"/>
    </xf>
    <xf numFmtId="1" fontId="2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17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Normal="100" workbookViewId="0">
      <selection activeCell="F2" sqref="F2"/>
    </sheetView>
  </sheetViews>
  <sheetFormatPr defaultRowHeight="15.75" x14ac:dyDescent="0.25"/>
  <cols>
    <col min="1" max="1" width="7" style="11" customWidth="1"/>
    <col min="2" max="2" width="4.28515625" style="3" bestFit="1" customWidth="1"/>
    <col min="3" max="3" width="8.140625" style="2" bestFit="1" customWidth="1"/>
    <col min="4" max="4" width="9.85546875" style="2" bestFit="1" customWidth="1"/>
    <col min="5" max="5" width="12.85546875" style="2" bestFit="1" customWidth="1"/>
    <col min="6" max="6" width="9" style="2" bestFit="1" customWidth="1"/>
    <col min="7" max="7" width="8.5703125" style="2" customWidth="1"/>
    <col min="8" max="8" width="8.42578125" style="2" bestFit="1" customWidth="1"/>
    <col min="9" max="9" width="23" style="2" customWidth="1"/>
    <col min="10" max="10" width="9" style="2" bestFit="1" customWidth="1"/>
    <col min="11" max="11" width="8.42578125" style="2" bestFit="1" customWidth="1"/>
    <col min="12" max="12" width="11.85546875" style="2" customWidth="1"/>
    <col min="13" max="13" width="9.85546875" style="2" bestFit="1" customWidth="1"/>
    <col min="14" max="14" width="10.28515625" style="2" bestFit="1" customWidth="1"/>
    <col min="15" max="15" width="8.42578125" style="2" bestFit="1" customWidth="1"/>
    <col min="16" max="16" width="9.85546875" style="2" bestFit="1" customWidth="1"/>
    <col min="17" max="16384" width="9.140625" style="2"/>
  </cols>
  <sheetData>
    <row r="1" spans="1:17" x14ac:dyDescent="0.25">
      <c r="A1" s="11">
        <v>1</v>
      </c>
      <c r="C1" s="3" t="s">
        <v>6</v>
      </c>
      <c r="D1" s="3"/>
      <c r="E1" s="4"/>
      <c r="F1" s="5" t="s">
        <v>68</v>
      </c>
      <c r="G1" s="1"/>
      <c r="H1" s="1"/>
      <c r="I1" s="1"/>
      <c r="J1" s="1"/>
      <c r="K1" s="1"/>
      <c r="L1" s="25" t="str">
        <f>+IF(N22&lt;N23,"OLD TAX REGIME","NEW TAX REGIME")</f>
        <v>NEW TAX REGIME</v>
      </c>
      <c r="M1" s="1"/>
      <c r="N1" s="1"/>
      <c r="O1" s="1"/>
      <c r="P1" s="3"/>
    </row>
    <row r="2" spans="1:17" x14ac:dyDescent="0.25">
      <c r="C2" s="3" t="s">
        <v>7</v>
      </c>
      <c r="D2" s="3"/>
      <c r="E2" s="4"/>
      <c r="F2" s="5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x14ac:dyDescent="0.25">
      <c r="C3" s="3" t="s">
        <v>8</v>
      </c>
      <c r="D3" s="3"/>
      <c r="E3" s="4"/>
      <c r="F3" s="5" t="s">
        <v>9</v>
      </c>
      <c r="G3" s="6"/>
      <c r="H3" s="6"/>
      <c r="I3" s="6"/>
      <c r="J3" s="6"/>
      <c r="K3" s="6"/>
      <c r="L3" s="6"/>
      <c r="M3" s="6"/>
      <c r="N3" s="6"/>
      <c r="O3" s="6"/>
      <c r="P3" s="3"/>
    </row>
    <row r="4" spans="1:17" x14ac:dyDescent="0.25">
      <c r="C4" s="3" t="s">
        <v>10</v>
      </c>
      <c r="D4" s="3"/>
      <c r="E4" s="4"/>
      <c r="F4" s="5" t="s">
        <v>9</v>
      </c>
      <c r="G4" s="6" t="s">
        <v>61</v>
      </c>
      <c r="H4" s="6"/>
      <c r="I4" s="6"/>
      <c r="J4" s="6"/>
      <c r="K4" s="6"/>
      <c r="L4" s="6"/>
      <c r="M4" s="6"/>
      <c r="N4" s="6"/>
      <c r="O4" s="6"/>
      <c r="P4" s="7" t="s">
        <v>24</v>
      </c>
    </row>
    <row r="5" spans="1:17" ht="27" x14ac:dyDescent="0.25">
      <c r="B5" s="23" t="s">
        <v>35</v>
      </c>
      <c r="C5" s="24" t="s">
        <v>11</v>
      </c>
      <c r="D5" s="27" t="s">
        <v>43</v>
      </c>
      <c r="E5" s="27" t="s">
        <v>0</v>
      </c>
      <c r="F5" s="27" t="s">
        <v>1</v>
      </c>
      <c r="G5" s="27" t="s">
        <v>53</v>
      </c>
      <c r="H5" s="27" t="s">
        <v>39</v>
      </c>
      <c r="I5" s="27" t="s">
        <v>51</v>
      </c>
      <c r="J5" s="27" t="s">
        <v>55</v>
      </c>
      <c r="K5" s="27" t="s">
        <v>45</v>
      </c>
      <c r="L5" s="27" t="s">
        <v>2</v>
      </c>
      <c r="M5" s="27" t="s">
        <v>46</v>
      </c>
      <c r="N5" s="27" t="s">
        <v>3</v>
      </c>
      <c r="O5" s="27" t="s">
        <v>52</v>
      </c>
      <c r="P5" s="27" t="s">
        <v>54</v>
      </c>
      <c r="Q5" s="31" t="s">
        <v>40</v>
      </c>
    </row>
    <row r="6" spans="1:17" x14ac:dyDescent="0.25">
      <c r="B6" s="19">
        <v>1</v>
      </c>
      <c r="C6" s="26">
        <v>80415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0">
        <v>0</v>
      </c>
      <c r="K6" s="28">
        <v>0</v>
      </c>
      <c r="L6" s="30">
        <f>SUM(D6:K6)</f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</row>
    <row r="7" spans="1:17" x14ac:dyDescent="0.25">
      <c r="B7" s="19">
        <v>2</v>
      </c>
      <c r="C7" s="26">
        <v>80446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0">
        <v>0</v>
      </c>
      <c r="K7" s="28">
        <v>0</v>
      </c>
      <c r="L7" s="30">
        <f t="shared" ref="L7:L17" si="0">SUM(D7:K7)</f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</row>
    <row r="8" spans="1:17" x14ac:dyDescent="0.25">
      <c r="B8" s="19">
        <v>3</v>
      </c>
      <c r="C8" s="26">
        <v>80476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0">
        <v>0</v>
      </c>
      <c r="K8" s="28">
        <v>0</v>
      </c>
      <c r="L8" s="30">
        <f t="shared" si="0"/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</row>
    <row r="9" spans="1:17" x14ac:dyDescent="0.25">
      <c r="B9" s="19">
        <v>4</v>
      </c>
      <c r="C9" s="26">
        <v>80507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0">
        <v>0</v>
      </c>
      <c r="K9" s="28">
        <v>0</v>
      </c>
      <c r="L9" s="30">
        <f t="shared" si="0"/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</row>
    <row r="10" spans="1:17" x14ac:dyDescent="0.25">
      <c r="B10" s="19">
        <v>5</v>
      </c>
      <c r="C10" s="26">
        <v>80537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0">
        <v>0</v>
      </c>
      <c r="K10" s="28">
        <v>0</v>
      </c>
      <c r="L10" s="30">
        <f t="shared" si="0"/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</row>
    <row r="11" spans="1:17" x14ac:dyDescent="0.25">
      <c r="B11" s="19">
        <v>6</v>
      </c>
      <c r="C11" s="26">
        <v>80568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0">
        <v>0</v>
      </c>
      <c r="K11" s="28">
        <v>0</v>
      </c>
      <c r="L11" s="30">
        <f t="shared" si="0"/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</row>
    <row r="12" spans="1:17" x14ac:dyDescent="0.25">
      <c r="B12" s="19">
        <v>7</v>
      </c>
      <c r="C12" s="26">
        <v>80599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0">
        <v>0</v>
      </c>
      <c r="K12" s="28">
        <v>0</v>
      </c>
      <c r="L12" s="30">
        <f t="shared" si="0"/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</row>
    <row r="13" spans="1:17" x14ac:dyDescent="0.25">
      <c r="B13" s="19">
        <v>8</v>
      </c>
      <c r="C13" s="26">
        <v>80629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0">
        <v>0</v>
      </c>
      <c r="K13" s="28">
        <v>0</v>
      </c>
      <c r="L13" s="30">
        <f t="shared" si="0"/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</row>
    <row r="14" spans="1:17" x14ac:dyDescent="0.25">
      <c r="B14" s="19">
        <v>9</v>
      </c>
      <c r="C14" s="26">
        <v>80660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0">
        <v>0</v>
      </c>
      <c r="K14" s="28">
        <v>0</v>
      </c>
      <c r="L14" s="30">
        <f t="shared" si="0"/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</row>
    <row r="15" spans="1:17" x14ac:dyDescent="0.25">
      <c r="B15" s="19">
        <v>10</v>
      </c>
      <c r="C15" s="26">
        <v>80690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0">
        <v>0</v>
      </c>
      <c r="K15" s="28">
        <v>0</v>
      </c>
      <c r="L15" s="30">
        <f t="shared" si="0"/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</row>
    <row r="16" spans="1:17" s="37" customFormat="1" x14ac:dyDescent="0.25">
      <c r="A16" s="35"/>
      <c r="B16" s="19">
        <v>11</v>
      </c>
      <c r="C16" s="26">
        <v>80721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0">
        <v>0</v>
      </c>
      <c r="K16" s="28">
        <v>0</v>
      </c>
      <c r="L16" s="30">
        <f t="shared" si="0"/>
        <v>0</v>
      </c>
      <c r="M16" s="28">
        <v>0</v>
      </c>
      <c r="N16" s="28">
        <v>0</v>
      </c>
      <c r="O16" s="28">
        <v>0</v>
      </c>
      <c r="P16" s="36">
        <f t="shared" ref="P16" si="1">+P15</f>
        <v>0</v>
      </c>
      <c r="Q16" s="28">
        <v>0</v>
      </c>
    </row>
    <row r="17" spans="1:17" s="37" customFormat="1" x14ac:dyDescent="0.3">
      <c r="A17" s="35"/>
      <c r="B17" s="19">
        <v>12</v>
      </c>
      <c r="C17" s="26">
        <v>80752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0">
        <v>0</v>
      </c>
      <c r="K17" s="28">
        <v>0</v>
      </c>
      <c r="L17" s="30">
        <f t="shared" si="0"/>
        <v>0</v>
      </c>
      <c r="M17" s="28">
        <v>0</v>
      </c>
      <c r="N17" s="28">
        <v>0</v>
      </c>
      <c r="O17" s="28">
        <v>0</v>
      </c>
      <c r="P17" s="36">
        <f t="shared" ref="P17" si="2">+P15</f>
        <v>0</v>
      </c>
      <c r="Q17" s="29">
        <v>0</v>
      </c>
    </row>
    <row r="18" spans="1:17" x14ac:dyDescent="0.3">
      <c r="B18" s="19">
        <v>13</v>
      </c>
      <c r="C18" s="26" t="s">
        <v>67</v>
      </c>
      <c r="D18" s="29">
        <v>0</v>
      </c>
      <c r="E18" s="29">
        <v>0</v>
      </c>
      <c r="F18" s="28">
        <v>0</v>
      </c>
      <c r="G18" s="28">
        <v>0</v>
      </c>
      <c r="H18" s="28">
        <v>0</v>
      </c>
      <c r="I18" s="29">
        <v>0</v>
      </c>
      <c r="J18" s="20">
        <v>0</v>
      </c>
      <c r="K18" s="29">
        <v>0</v>
      </c>
      <c r="L18" s="30">
        <f>SUM(D18:K18)</f>
        <v>0</v>
      </c>
      <c r="M18" s="29">
        <v>0</v>
      </c>
      <c r="N18" s="20">
        <v>0</v>
      </c>
      <c r="O18" s="29">
        <v>0</v>
      </c>
      <c r="P18" s="20">
        <v>0</v>
      </c>
      <c r="Q18" s="29">
        <v>0</v>
      </c>
    </row>
    <row r="19" spans="1:17" x14ac:dyDescent="0.3">
      <c r="B19" s="20"/>
      <c r="C19" s="21"/>
      <c r="D19" s="33">
        <f t="shared" ref="D19:P19" si="3">SUM(D6:D18)</f>
        <v>0</v>
      </c>
      <c r="E19" s="33">
        <f t="shared" si="3"/>
        <v>0</v>
      </c>
      <c r="F19" s="33">
        <f t="shared" si="3"/>
        <v>0</v>
      </c>
      <c r="G19" s="33">
        <f t="shared" si="3"/>
        <v>0</v>
      </c>
      <c r="H19" s="33">
        <f t="shared" si="3"/>
        <v>0</v>
      </c>
      <c r="I19" s="33">
        <f t="shared" si="3"/>
        <v>0</v>
      </c>
      <c r="J19" s="33">
        <f t="shared" si="3"/>
        <v>0</v>
      </c>
      <c r="K19" s="33">
        <f t="shared" si="3"/>
        <v>0</v>
      </c>
      <c r="L19" s="34">
        <f t="shared" si="3"/>
        <v>0</v>
      </c>
      <c r="M19" s="33">
        <f t="shared" si="3"/>
        <v>0</v>
      </c>
      <c r="N19" s="33">
        <f t="shared" si="3"/>
        <v>0</v>
      </c>
      <c r="O19" s="33">
        <f t="shared" si="3"/>
        <v>0</v>
      </c>
      <c r="P19" s="33">
        <f t="shared" si="3"/>
        <v>0</v>
      </c>
      <c r="Q19" s="29">
        <f>SUM(Q6:Q18)</f>
        <v>0</v>
      </c>
    </row>
    <row r="20" spans="1:17" x14ac:dyDescent="0.25">
      <c r="B20" s="7" t="s">
        <v>59</v>
      </c>
      <c r="C20" s="7" t="s">
        <v>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 x14ac:dyDescent="0.25">
      <c r="B21" s="32" t="s">
        <v>2</v>
      </c>
      <c r="E21" s="2">
        <f>+L19</f>
        <v>0</v>
      </c>
      <c r="I21" s="9" t="s">
        <v>17</v>
      </c>
      <c r="L21" s="2" t="s">
        <v>12</v>
      </c>
      <c r="N21" s="2">
        <f>+E29-J31-J40</f>
        <v>-50000</v>
      </c>
      <c r="O21" s="38"/>
    </row>
    <row r="22" spans="1:17" x14ac:dyDescent="0.25">
      <c r="B22" s="10" t="s">
        <v>13</v>
      </c>
      <c r="H22" s="11" t="s">
        <v>25</v>
      </c>
      <c r="I22" s="2" t="s">
        <v>48</v>
      </c>
      <c r="J22" s="13">
        <f>+IF(AND(J34&gt;0,K19&gt;0),J34,M19)</f>
        <v>0</v>
      </c>
      <c r="L22" s="2" t="s">
        <v>57</v>
      </c>
      <c r="N22" s="2">
        <f>IF(AND(P4="M",N21&lt;=250000),0,IF(AND(P4="F",N21&lt;=250000),0,IF(AND(P4="M",N21&lt;=500000),ROUND((N21-250000)*5%,0),IF(AND(P4="F",N21&lt;=500000),ROUND((N21-250000)*5%,0),IF(AND(P4="M",N21&lt;=1000000),12500+ROUND((N21-500000)*20%,0),IF(AND(P4="F",N21&lt;=1000000),12500+ROUND((N21-500000)*20%,0),IF(AND(P4="M",N21&gt;=1000000),112500+ROUND((N21-1000000)*30%,0),112500+ROUND((N21-1000000)*30%,0))))))))</f>
        <v>0</v>
      </c>
      <c r="O22" s="39"/>
    </row>
    <row r="23" spans="1:17" x14ac:dyDescent="0.25">
      <c r="B23" s="2" t="s">
        <v>49</v>
      </c>
      <c r="E23" s="2">
        <v>50000</v>
      </c>
      <c r="H23" s="11" t="s">
        <v>26</v>
      </c>
      <c r="I23" s="2" t="s">
        <v>4</v>
      </c>
      <c r="J23" s="2">
        <f>+O19</f>
        <v>0</v>
      </c>
      <c r="L23" t="s">
        <v>58</v>
      </c>
      <c r="M23"/>
      <c r="N23" s="2">
        <f>+IF(AND(B20="GN",(E21-J34)&lt;=250000,C20="OLD"),0,IF(AND(B20="SC",(E21-J34)&lt;=300000,C20="OLD"),0,IF(AND(B20="SSC",(E21-J34)&lt;=500000,C20="OLD"),0,IF(AND(B20="GN",C20="OLD",(E21-J34)&lt;=500000),ROUND(((E21-J34)-250000)*5%,0),IF(AND(C20="OLD",B20="SC",(E21-J34)&lt;=500000),ROUND(((E21-J34)-300000)*5%,0),IF(AND(C20="OLD",(E21-J34)&lt;=1000000,B20="GN"),ROUND(((E21-J34)-500000)*20%+(12500),0),IF(AND(B20="SC",C20="OLD",(E21-J34)&lt;=1000000),ROUND(((E21-J34)-500000)*20%+(10000),0),IF(AND(B20="SSC",C20="OLD",(E21-J34)&lt;=1000000),ROUND(((E21-J34)-500000)*20%,0),IF(AND(C20="OLD",B20="GN",(E21-J34)&gt;1000000),ROUND(((E21-J34)-1000000)*30%+(112500),0),IF(AND(C20="OLD",B20="SC",(E21-J34)&gt;1000000),ROUND(((E21-J34)-1000000)*30%+(110000),0),IF(AND(B20="SSC",C20="OLD",(E21-J34)&gt;1000000),ROUND(((E21-J34)-1000000)*30%+(100000),0),IF(AND(C20="NEW",(E21-J34)&lt;=250000),0,IF(AND(C20="NEW",(E21-J34)&lt;=500000),ROUND(((E21-J34)-250000)*5%,0),IF(AND(C20="NEW",(E21-J34)&lt;=750000),ROUND(((E21-J34)-500000)*10%+(12500),0),IF(AND(C20="NEW",(E21-J34)&lt;=1000000),ROUND(((E21-J34)-750000)*15%+(37500),0),IF(AND(C20="NEW",(E21-J34)&lt;=1250000),ROUND(((E21-J34)-1000000)*20%+(75000),0),IF(AND(C20="NEW",(E21-J34)&lt;=1500000),ROUND(((E21-J34)-1250000)*25%+(125000),0),IF(AND(C20="NEW",(E21-J34)&gt;1500000),ROUND(((E21-J34)-1500000)*30%+(187500),0)))))))))))))))))))</f>
        <v>0</v>
      </c>
      <c r="O23" s="39"/>
    </row>
    <row r="24" spans="1:17" x14ac:dyDescent="0.25">
      <c r="B24" s="2" t="s">
        <v>38</v>
      </c>
      <c r="E24" s="2">
        <v>0</v>
      </c>
      <c r="H24" s="11" t="s">
        <v>27</v>
      </c>
      <c r="I24" s="2" t="s">
        <v>42</v>
      </c>
      <c r="J24" s="2">
        <v>0</v>
      </c>
      <c r="L24"/>
      <c r="M24"/>
      <c r="N24"/>
      <c r="O24" s="39"/>
    </row>
    <row r="25" spans="1:17" x14ac:dyDescent="0.25">
      <c r="B25" s="2" t="s">
        <v>14</v>
      </c>
      <c r="E25" s="13">
        <f>+N19</f>
        <v>0</v>
      </c>
      <c r="H25" s="11" t="s">
        <v>28</v>
      </c>
      <c r="I25" s="2" t="s">
        <v>18</v>
      </c>
      <c r="J25" s="2">
        <v>0</v>
      </c>
      <c r="L25" s="2" t="s">
        <v>23</v>
      </c>
      <c r="N25" s="12">
        <f>+MIN(N22,N23)</f>
        <v>0</v>
      </c>
      <c r="O25" s="39"/>
    </row>
    <row r="26" spans="1:17" x14ac:dyDescent="0.25">
      <c r="B26" s="2" t="s">
        <v>22</v>
      </c>
      <c r="E26" s="13">
        <v>0</v>
      </c>
      <c r="H26" s="11" t="s">
        <v>29</v>
      </c>
      <c r="I26" s="2" t="s">
        <v>19</v>
      </c>
      <c r="J26" s="2">
        <v>0</v>
      </c>
      <c r="L26" s="2" t="s">
        <v>34</v>
      </c>
      <c r="N26" s="16">
        <f>+IF(N21&gt;500000,0,IF(N25&gt;12500,12500,N25))</f>
        <v>0</v>
      </c>
      <c r="O26" s="39"/>
    </row>
    <row r="27" spans="1:17" x14ac:dyDescent="0.25">
      <c r="H27" s="11" t="s">
        <v>30</v>
      </c>
      <c r="I27" s="2" t="s">
        <v>56</v>
      </c>
      <c r="J27" s="2">
        <v>0</v>
      </c>
      <c r="L27" s="2" t="s">
        <v>23</v>
      </c>
      <c r="M27"/>
      <c r="N27" s="12">
        <f>+N25-N26</f>
        <v>0</v>
      </c>
      <c r="O27" s="39"/>
    </row>
    <row r="28" spans="1:17" x14ac:dyDescent="0.25">
      <c r="B28" s="2" t="s">
        <v>15</v>
      </c>
      <c r="E28" s="2">
        <f>+IF(E26&lt;200000,SUM(E23:E26),200000+SUM(E23:E25))</f>
        <v>50000</v>
      </c>
      <c r="H28" s="11" t="s">
        <v>31</v>
      </c>
      <c r="I28" s="2" t="s">
        <v>50</v>
      </c>
      <c r="J28" s="2">
        <v>0</v>
      </c>
      <c r="L28" s="2" t="s">
        <v>41</v>
      </c>
      <c r="N28" s="16">
        <f>ROUND(N27*4%,0)</f>
        <v>0</v>
      </c>
      <c r="O28" s="39"/>
    </row>
    <row r="29" spans="1:17" x14ac:dyDescent="0.25">
      <c r="B29" s="2" t="s">
        <v>16</v>
      </c>
      <c r="D29" s="8"/>
      <c r="E29" s="17">
        <f>+E21-E28</f>
        <v>-50000</v>
      </c>
      <c r="H29" s="11" t="s">
        <v>32</v>
      </c>
      <c r="I29" s="2" t="s">
        <v>20</v>
      </c>
      <c r="J29" s="2">
        <v>0</v>
      </c>
      <c r="L29" s="2" t="s">
        <v>36</v>
      </c>
      <c r="N29" s="12">
        <f>+N27+N28</f>
        <v>0</v>
      </c>
      <c r="O29" s="39"/>
    </row>
    <row r="30" spans="1:17" x14ac:dyDescent="0.25">
      <c r="I30" s="14" t="s">
        <v>33</v>
      </c>
      <c r="J30" s="17">
        <f>SUM(J22:J29)</f>
        <v>0</v>
      </c>
      <c r="L30" s="2" t="s">
        <v>37</v>
      </c>
      <c r="N30" s="22">
        <f>+P34</f>
        <v>0</v>
      </c>
      <c r="O30" s="39"/>
    </row>
    <row r="31" spans="1:17" x14ac:dyDescent="0.25">
      <c r="I31" s="2" t="s">
        <v>21</v>
      </c>
      <c r="J31" s="17">
        <f>IF(SUM(J22:J29)&gt;=150000,(150000+K22+K23+K24+K25+K26+K27),(SUM(J22:J29)+(K22+K23+K24+K25+K26+K27)))</f>
        <v>0</v>
      </c>
      <c r="N31" s="12"/>
      <c r="O31" s="39"/>
    </row>
    <row r="32" spans="1:17" x14ac:dyDescent="0.25">
      <c r="I32" s="11"/>
      <c r="L32" s="2" t="s">
        <v>5</v>
      </c>
      <c r="N32" s="18">
        <f>+N29-N30</f>
        <v>0</v>
      </c>
      <c r="O32" s="39"/>
    </row>
    <row r="33" spans="8:16" s="2" customFormat="1" x14ac:dyDescent="0.25">
      <c r="I33" s="9" t="s">
        <v>44</v>
      </c>
      <c r="M33" s="15"/>
      <c r="O33" s="39"/>
    </row>
    <row r="34" spans="8:16" s="2" customFormat="1" x14ac:dyDescent="0.25">
      <c r="H34" s="11" t="s">
        <v>25</v>
      </c>
      <c r="I34" s="2" t="s">
        <v>47</v>
      </c>
      <c r="J34" s="13">
        <f>IF(K19=0,0,ROUND(+(D19+E19)*10/100,))</f>
        <v>0</v>
      </c>
      <c r="M34" s="15"/>
      <c r="P34" s="3"/>
    </row>
    <row r="35" spans="8:16" s="2" customFormat="1" x14ac:dyDescent="0.25">
      <c r="H35" s="11" t="s">
        <v>26</v>
      </c>
      <c r="I35" s="2" t="s">
        <v>62</v>
      </c>
      <c r="J35" s="13">
        <v>0</v>
      </c>
      <c r="M35" s="15"/>
    </row>
    <row r="36" spans="8:16" s="2" customFormat="1" x14ac:dyDescent="0.25">
      <c r="H36" s="11" t="s">
        <v>27</v>
      </c>
      <c r="I36" s="2" t="s">
        <v>63</v>
      </c>
      <c r="J36" s="2">
        <v>0</v>
      </c>
      <c r="P36" s="12"/>
    </row>
    <row r="37" spans="8:16" s="2" customFormat="1" x14ac:dyDescent="0.25">
      <c r="H37" s="11" t="s">
        <v>28</v>
      </c>
      <c r="I37" s="2" t="s">
        <v>66</v>
      </c>
      <c r="J37" s="2">
        <v>0</v>
      </c>
      <c r="P37" s="12"/>
    </row>
    <row r="38" spans="8:16" s="2" customFormat="1" x14ac:dyDescent="0.25">
      <c r="H38" s="11" t="s">
        <v>29</v>
      </c>
      <c r="I38" s="2" t="s">
        <v>64</v>
      </c>
      <c r="J38" s="2">
        <v>0</v>
      </c>
      <c r="P38" s="12"/>
    </row>
    <row r="39" spans="8:16" s="2" customFormat="1" x14ac:dyDescent="0.25">
      <c r="H39" s="11" t="s">
        <v>30</v>
      </c>
      <c r="I39" s="2" t="s">
        <v>65</v>
      </c>
      <c r="J39" s="2">
        <v>0</v>
      </c>
      <c r="P39" s="12"/>
    </row>
    <row r="40" spans="8:16" x14ac:dyDescent="0.25">
      <c r="I40" s="14" t="s">
        <v>33</v>
      </c>
      <c r="J40" s="17">
        <f>SUM(J35:J39)</f>
        <v>0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2026-03-28T02:13:04Z</dcterms:modified>
</cp:coreProperties>
</file>