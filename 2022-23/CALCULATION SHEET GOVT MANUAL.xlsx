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A1549AC0-FDB1-4DD9-8034-BE7CD2D024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D30" i="1" l="1"/>
  <c r="C41" i="1"/>
  <c r="D40" i="1"/>
  <c r="Q8" i="1"/>
  <c r="Q9" i="1"/>
  <c r="Q12" i="1"/>
  <c r="Q13" i="1"/>
  <c r="Q16" i="1"/>
  <c r="Q17" i="1"/>
  <c r="Q19" i="1"/>
  <c r="N20" i="1"/>
  <c r="J6" i="1"/>
  <c r="Q6" i="1" s="1"/>
  <c r="J7" i="1"/>
  <c r="Q7" i="1" s="1"/>
  <c r="J8" i="1"/>
  <c r="J9" i="1"/>
  <c r="J10" i="1"/>
  <c r="Q10" i="1" s="1"/>
  <c r="J11" i="1"/>
  <c r="Q11" i="1" s="1"/>
  <c r="J12" i="1"/>
  <c r="J13" i="1"/>
  <c r="J14" i="1"/>
  <c r="Q14" i="1" s="1"/>
  <c r="J15" i="1"/>
  <c r="Q15" i="1" s="1"/>
  <c r="J16" i="1"/>
  <c r="J17" i="1"/>
  <c r="J18" i="1"/>
  <c r="Q18" i="1" s="1"/>
  <c r="D32" i="1" l="1"/>
  <c r="AN5" i="1" s="1"/>
  <c r="AQ24" i="1"/>
  <c r="R20" i="1"/>
  <c r="AS24" i="1" s="1"/>
  <c r="P20" i="1"/>
  <c r="O20" i="1"/>
  <c r="H29" i="1" s="1"/>
  <c r="H27" i="1"/>
  <c r="M20" i="1"/>
  <c r="H26" i="1" s="1"/>
  <c r="L20" i="1"/>
  <c r="I20" i="1"/>
  <c r="H20" i="1"/>
  <c r="AS5" i="1" s="1"/>
  <c r="G20" i="1"/>
  <c r="D27" i="1" s="1"/>
  <c r="AL5" i="1" s="1"/>
  <c r="F20" i="1"/>
  <c r="E20" i="1"/>
  <c r="D39" i="1" s="1"/>
  <c r="D20" i="1"/>
  <c r="C20" i="1"/>
  <c r="BF5" i="1"/>
  <c r="AZ5" i="1"/>
  <c r="AX5" i="1"/>
  <c r="AW5" i="1"/>
  <c r="AI5" i="1"/>
  <c r="AD5" i="1"/>
  <c r="J5" i="1"/>
  <c r="AC5" i="1"/>
  <c r="AV5" i="1" l="1"/>
  <c r="AU5" i="1"/>
  <c r="AT5" i="1" s="1"/>
  <c r="J20" i="1"/>
  <c r="D24" i="1" s="1"/>
  <c r="M26" i="1" s="1"/>
  <c r="Q5" i="1"/>
  <c r="AK5" i="1"/>
  <c r="K20" i="1"/>
  <c r="D28" i="1" s="1"/>
  <c r="AJ5" i="1" s="1"/>
  <c r="D43" i="1"/>
  <c r="H40" i="1"/>
  <c r="M34" i="1"/>
  <c r="BH5" i="1" s="1"/>
  <c r="BJ5" i="1" s="1"/>
  <c r="H25" i="1"/>
  <c r="H36" i="1"/>
  <c r="H37" i="1" s="1"/>
  <c r="H41" i="1"/>
  <c r="AP24" i="1" a="1"/>
  <c r="AP24" i="1" s="1"/>
  <c r="AY5" i="1"/>
  <c r="H46" i="1" l="1"/>
  <c r="AQ5" i="1"/>
  <c r="AR5" i="1" s="1" a="1"/>
  <c r="AR5" i="1" s="1"/>
  <c r="AE5" i="1"/>
  <c r="AH5" i="1" s="1"/>
  <c r="AM5" i="1" s="1"/>
  <c r="AP5" i="1" s="1"/>
  <c r="D34" i="1"/>
  <c r="D35" i="1" s="1"/>
  <c r="Q20" i="1"/>
  <c r="M24" i="1" l="1"/>
  <c r="M25" i="1" s="1"/>
  <c r="M28" i="1" l="1"/>
  <c r="AB5" i="1" s="1"/>
  <c r="BA5" i="1" l="1"/>
  <c r="BB5" i="1" s="1"/>
  <c r="BL5" i="1" s="1"/>
  <c r="I1" i="1"/>
  <c r="BC5" i="1"/>
  <c r="M30" i="1"/>
  <c r="BD5" i="1" s="1"/>
  <c r="M31" i="1" l="1"/>
  <c r="M32" i="1" l="1"/>
  <c r="BE5" i="1" s="1"/>
  <c r="BG5" i="1" s="1"/>
  <c r="BK5" i="1" s="1"/>
  <c r="M33" i="1" l="1"/>
  <c r="M38" i="1" l="1"/>
  <c r="AR24" i="1"/>
</calcChain>
</file>

<file path=xl/sharedStrings.xml><?xml version="1.0" encoding="utf-8"?>
<sst xmlns="http://schemas.openxmlformats.org/spreadsheetml/2006/main" count="165" uniqueCount="115">
  <si>
    <t>SR</t>
  </si>
  <si>
    <t>115BAC Section Applicable (New Tax Regime)</t>
  </si>
  <si>
    <t>PAN NO.</t>
  </si>
  <si>
    <t>NAME OF EMPLOYEE</t>
  </si>
  <si>
    <t>Salary as per provisions contained in section 17(1)</t>
  </si>
  <si>
    <t>Value of perquisites [section 17(2)]
(as per FormNo.12BA, wherever applicable)</t>
  </si>
  <si>
    <t>Reported total amount of salary received from other employer(s)</t>
  </si>
  <si>
    <t>GROSS SALARY</t>
  </si>
  <si>
    <t>STD DED</t>
  </si>
  <si>
    <t>PT</t>
  </si>
  <si>
    <t>HRA</t>
  </si>
  <si>
    <t>OTHER ALLOWANCES 10</t>
  </si>
  <si>
    <t>NET</t>
  </si>
  <si>
    <t>HSG. INT</t>
  </si>
  <si>
    <t>OTHER INCOME</t>
  </si>
  <si>
    <t>80C INVESTMENT</t>
  </si>
  <si>
    <t>80C ELIGIBLE</t>
  </si>
  <si>
    <t>80CCD1 GROSS</t>
  </si>
  <si>
    <t>80CCD1 ELIGIBLE</t>
  </si>
  <si>
    <t>80CCD1(B) ELIGIBLE</t>
  </si>
  <si>
    <t>80CCD2 ELIGIBLE</t>
  </si>
  <si>
    <t>80D</t>
  </si>
  <si>
    <t>80E</t>
  </si>
  <si>
    <t>80G</t>
  </si>
  <si>
    <t>OTHERS</t>
  </si>
  <si>
    <t>TOTAL ELIGIBLE SAVING</t>
  </si>
  <si>
    <t>TAXABLE</t>
  </si>
  <si>
    <t>TAX</t>
  </si>
  <si>
    <t>REBATE</t>
  </si>
  <si>
    <t>CESS</t>
  </si>
  <si>
    <t>RELIEF</t>
  </si>
  <si>
    <t>TOTAL TAX</t>
  </si>
  <si>
    <t>TDS-CURRENT</t>
  </si>
  <si>
    <t>TDS-PREV.</t>
  </si>
  <si>
    <t>TOTAL</t>
  </si>
  <si>
    <t>R/P</t>
  </si>
  <si>
    <t>M</t>
  </si>
  <si>
    <t>SR.</t>
  </si>
  <si>
    <t>MONTH</t>
  </si>
  <si>
    <t>BASIC</t>
  </si>
  <si>
    <t>DA</t>
  </si>
  <si>
    <t>H. R. A.</t>
  </si>
  <si>
    <t>TA/SDA/CLA/RA/ETC</t>
  </si>
  <si>
    <t>WA</t>
  </si>
  <si>
    <t>DCPS Employer</t>
  </si>
  <si>
    <t>Basic Arr. / 7th Pay DCPS/NPS Arr</t>
  </si>
  <si>
    <t>Total Emolument</t>
  </si>
  <si>
    <t xml:space="preserve">PT </t>
  </si>
  <si>
    <t>GPF/DCPS Employee</t>
  </si>
  <si>
    <t>GIS</t>
  </si>
  <si>
    <t>LIC</t>
  </si>
  <si>
    <t>OTHER</t>
  </si>
  <si>
    <t>I. TAX</t>
  </si>
  <si>
    <t>SUPP</t>
  </si>
  <si>
    <t>MED. BILL</t>
  </si>
  <si>
    <t>NEW</t>
  </si>
  <si>
    <t xml:space="preserve">GROSS SALARY </t>
  </si>
  <si>
    <t>SAVINGS U/S. 80C</t>
  </si>
  <si>
    <t>Taxable Income</t>
  </si>
  <si>
    <t>LESS :</t>
  </si>
  <si>
    <t>i)</t>
  </si>
  <si>
    <t>Old Tax Regime</t>
  </si>
  <si>
    <t>STD. DED.</t>
  </si>
  <si>
    <t>ii)</t>
  </si>
  <si>
    <t>New Tax Regime</t>
  </si>
  <si>
    <t>iii)</t>
  </si>
  <si>
    <t>L.I.C. [Salary]</t>
  </si>
  <si>
    <t>Professional Tax</t>
  </si>
  <si>
    <t>iv</t>
  </si>
  <si>
    <t>L.I.C. [Individual]</t>
  </si>
  <si>
    <t>Tax on Total Income</t>
  </si>
  <si>
    <t>Other Allowance</t>
  </si>
  <si>
    <t>v)</t>
  </si>
  <si>
    <t>Housing Loan Principal</t>
  </si>
  <si>
    <t>H. R. A.  Exempt</t>
  </si>
  <si>
    <t>vi)</t>
  </si>
  <si>
    <t>Educational Fees</t>
  </si>
  <si>
    <t>(-) : Rebate 87</t>
  </si>
  <si>
    <t>B.D.D.S Allowance</t>
  </si>
  <si>
    <t>vii)</t>
  </si>
  <si>
    <t>Mutual Fund</t>
  </si>
  <si>
    <t>Tax on Total Inc.</t>
  </si>
  <si>
    <t>House Loan Int.</t>
  </si>
  <si>
    <t>viii)</t>
  </si>
  <si>
    <t>PLI</t>
  </si>
  <si>
    <t>(+) 4% Edu.Cess</t>
  </si>
  <si>
    <t>ix)</t>
  </si>
  <si>
    <t>Sukanya Yojna</t>
  </si>
  <si>
    <t>Tax Payable</t>
  </si>
  <si>
    <t>Total Deductions</t>
  </si>
  <si>
    <t>x)</t>
  </si>
  <si>
    <t>PPF</t>
  </si>
  <si>
    <t>(-) Already paid</t>
  </si>
  <si>
    <t xml:space="preserve">BALANCE </t>
  </si>
  <si>
    <t>xI)</t>
  </si>
  <si>
    <t>SBI Life Insurance</t>
  </si>
  <si>
    <t>(-) Relief 89</t>
  </si>
  <si>
    <t>Total Savings</t>
  </si>
  <si>
    <t>Eligible Savings</t>
  </si>
  <si>
    <t>HRA CALCULATION</t>
  </si>
  <si>
    <t>Total Tax Payable</t>
  </si>
  <si>
    <t>HRA RECEIVED</t>
  </si>
  <si>
    <t>SAVINGS CHAPTER VIA</t>
  </si>
  <si>
    <t>80CCD (1B)</t>
  </si>
  <si>
    <t>RENT PAID</t>
  </si>
  <si>
    <t>80G /( C. M. Fund)</t>
  </si>
  <si>
    <t>BASIC +DA 10 %  - RENT PAID</t>
  </si>
  <si>
    <t>iv)</t>
  </si>
  <si>
    <t>80D - Mediclaim Policy</t>
  </si>
  <si>
    <t>80U - Handicapped</t>
  </si>
  <si>
    <t>80E - Edu. Loan Intrest</t>
  </si>
  <si>
    <t>NAME</t>
  </si>
  <si>
    <t>PAN</t>
  </si>
  <si>
    <t>BASIC  40 %</t>
  </si>
  <si>
    <t>BASIC 10 %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</si>
</sst>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0.0000"/>
  </numFmts>
  <fonts count="12" x14ac:knownFonts="1">
    <font>
      <sz val="11"/>
      <color theme="1"/>
      <name val="Calibri"/>
      <family val="2"/>
      <scheme val="minor"/>
    </font>
    <font>
      <b/>
      <sz val="9"/>
      <name val="Bookman Old Style"/>
      <family val="1"/>
    </font>
    <font>
      <sz val="9"/>
      <name val="Bookman Old Style"/>
      <family val="1"/>
    </font>
    <font>
      <sz val="8"/>
      <color theme="1"/>
      <name val="Franklin Gothic Book"/>
      <family val="2"/>
    </font>
    <font>
      <sz val="9"/>
      <color theme="1"/>
      <name val="Bookman Old Style"/>
      <family val="1"/>
    </font>
    <font>
      <b/>
      <sz val="8"/>
      <name val="Arial"/>
      <family val="2"/>
    </font>
    <font>
      <sz val="9"/>
      <name val="Arial"/>
      <family val="2"/>
    </font>
    <font>
      <sz val="8"/>
      <name val="Bookman Old Style"/>
      <family val="1"/>
    </font>
    <font>
      <sz val="9"/>
      <color theme="0"/>
      <name val="Bookman Old Style"/>
      <family val="1"/>
    </font>
    <font>
      <b/>
      <u/>
      <sz val="9"/>
      <color theme="1"/>
      <name val="Bookman Old Style"/>
      <family val="1"/>
    </font>
    <font>
      <sz val="9"/>
      <color indexed="8"/>
      <name val="Bookman Old Style"/>
      <family val="1"/>
    </font>
    <font>
      <b/>
      <sz val="9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1" fontId="4" fillId="0" borderId="0" xfId="0" applyNumberFormat="1" applyFont="1" applyAlignment="1">
      <alignment vertical="center"/>
    </xf>
    <xf numFmtId="14" fontId="4" fillId="0" borderId="0" xfId="0" applyNumberFormat="1" applyFont="1" applyAlignment="1">
      <alignment vertical="center"/>
    </xf>
    <xf numFmtId="1" fontId="6" fillId="0" borderId="0" xfId="0" applyNumberFormat="1" applyFont="1" applyAlignment="1" applyProtection="1">
      <alignment horizontal="right"/>
      <protection locked="0"/>
    </xf>
    <xf numFmtId="49" fontId="6" fillId="0" borderId="0" xfId="0" applyNumberFormat="1" applyFont="1" applyAlignment="1" applyProtection="1">
      <alignment horizontal="center"/>
      <protection locked="0"/>
    </xf>
    <xf numFmtId="0" fontId="4" fillId="4" borderId="0" xfId="0" applyFont="1" applyFill="1" applyAlignment="1">
      <alignment vertical="center"/>
    </xf>
    <xf numFmtId="49" fontId="6" fillId="0" borderId="0" xfId="0" applyNumberFormat="1" applyFont="1" applyAlignment="1" applyProtection="1">
      <alignment horizontal="left"/>
      <protection locked="0"/>
    </xf>
    <xf numFmtId="165" fontId="6" fillId="0" borderId="0" xfId="0" applyNumberFormat="1" applyFont="1" applyAlignment="1" applyProtection="1">
      <alignment horizontal="right"/>
      <protection locked="0"/>
    </xf>
    <xf numFmtId="1" fontId="2" fillId="0" borderId="0" xfId="0" applyNumberFormat="1" applyFont="1" applyAlignment="1">
      <alignment vertical="center"/>
    </xf>
    <xf numFmtId="17" fontId="7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7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4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4" fillId="0" borderId="5" xfId="0" applyFont="1" applyBorder="1" applyAlignment="1">
      <alignment vertical="center"/>
    </xf>
    <xf numFmtId="1" fontId="4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46"/>
  <sheetViews>
    <sheetView tabSelected="1" topLeftCell="A13" workbookViewId="0">
      <selection activeCell="B22" sqref="B22"/>
    </sheetView>
  </sheetViews>
  <sheetFormatPr defaultRowHeight="15" x14ac:dyDescent="0.25"/>
  <cols>
    <col min="7" max="7" width="23" bestFit="1" customWidth="1"/>
  </cols>
  <sheetData>
    <row r="1" spans="1:122" x14ac:dyDescent="0.25">
      <c r="A1" s="1" t="s">
        <v>111</v>
      </c>
      <c r="B1" s="2"/>
      <c r="C1" s="3"/>
      <c r="D1" s="4"/>
      <c r="E1" s="2"/>
      <c r="F1" s="2"/>
      <c r="G1" s="4"/>
      <c r="H1" s="4"/>
      <c r="I1" s="5" t="str">
        <f>+IF(M25=M28,"OLD","NEW")</f>
        <v>OLD</v>
      </c>
      <c r="J1" s="4"/>
      <c r="K1" s="4"/>
      <c r="L1" s="4"/>
      <c r="M1" s="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6" t="s">
        <v>0</v>
      </c>
      <c r="AB1" s="6" t="s">
        <v>1</v>
      </c>
      <c r="AC1" s="6" t="s">
        <v>2</v>
      </c>
      <c r="AD1" s="6" t="s">
        <v>3</v>
      </c>
      <c r="AE1" s="6" t="s">
        <v>4</v>
      </c>
      <c r="AF1" s="6" t="s">
        <v>5</v>
      </c>
      <c r="AG1" s="6" t="s">
        <v>6</v>
      </c>
      <c r="AH1" s="6" t="s">
        <v>7</v>
      </c>
      <c r="AI1" s="6" t="s">
        <v>8</v>
      </c>
      <c r="AJ1" s="6" t="s">
        <v>9</v>
      </c>
      <c r="AK1" s="6" t="s">
        <v>10</v>
      </c>
      <c r="AL1" s="6" t="s">
        <v>11</v>
      </c>
      <c r="AM1" s="6" t="s">
        <v>12</v>
      </c>
      <c r="AN1" s="6" t="s">
        <v>13</v>
      </c>
      <c r="AO1" s="6" t="s">
        <v>14</v>
      </c>
      <c r="AP1" s="6" t="s">
        <v>12</v>
      </c>
      <c r="AQ1" s="6" t="s">
        <v>15</v>
      </c>
      <c r="AR1" s="6" t="s">
        <v>16</v>
      </c>
      <c r="AS1" s="6" t="s">
        <v>17</v>
      </c>
      <c r="AT1" s="6" t="s">
        <v>18</v>
      </c>
      <c r="AU1" s="6" t="s">
        <v>19</v>
      </c>
      <c r="AV1" s="6" t="s">
        <v>20</v>
      </c>
      <c r="AW1" s="6" t="s">
        <v>21</v>
      </c>
      <c r="AX1" s="6" t="s">
        <v>22</v>
      </c>
      <c r="AY1" s="6" t="s">
        <v>23</v>
      </c>
      <c r="AZ1" s="6" t="s">
        <v>24</v>
      </c>
      <c r="BA1" s="6" t="s">
        <v>25</v>
      </c>
      <c r="BB1" s="6" t="s">
        <v>26</v>
      </c>
      <c r="BC1" s="6" t="s">
        <v>27</v>
      </c>
      <c r="BD1" s="6" t="s">
        <v>28</v>
      </c>
      <c r="BE1" s="6" t="s">
        <v>29</v>
      </c>
      <c r="BF1" s="6" t="s">
        <v>30</v>
      </c>
      <c r="BG1" s="6" t="s">
        <v>31</v>
      </c>
      <c r="BH1" s="6" t="s">
        <v>32</v>
      </c>
      <c r="BI1" s="6" t="s">
        <v>33</v>
      </c>
      <c r="BJ1" s="6" t="s">
        <v>34</v>
      </c>
      <c r="BK1" s="6" t="s">
        <v>35</v>
      </c>
      <c r="BL1" s="7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</row>
    <row r="2" spans="1:122" x14ac:dyDescent="0.25">
      <c r="A2" s="2"/>
      <c r="C2" s="3"/>
      <c r="D2" s="4"/>
      <c r="E2" s="4"/>
      <c r="F2" s="4"/>
      <c r="G2" s="4" t="s">
        <v>112</v>
      </c>
      <c r="H2" s="4"/>
      <c r="I2" s="4"/>
      <c r="J2" s="4"/>
      <c r="K2" s="4"/>
      <c r="L2" s="4"/>
      <c r="M2" s="4"/>
      <c r="N2" s="4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</row>
    <row r="3" spans="1:122" x14ac:dyDescent="0.25">
      <c r="A3" s="8"/>
      <c r="B3" s="2"/>
      <c r="C3" s="3"/>
      <c r="D3" s="9"/>
      <c r="E3" s="9"/>
      <c r="F3" s="9"/>
      <c r="G3" s="9"/>
      <c r="H3" s="9"/>
      <c r="I3" s="9"/>
      <c r="J3" s="9"/>
      <c r="K3" s="9"/>
      <c r="L3" s="9"/>
      <c r="M3" s="9"/>
      <c r="N3" s="10" t="s">
        <v>36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1"/>
      <c r="AA3" s="12"/>
      <c r="AB3" s="12"/>
      <c r="AC3" s="12"/>
      <c r="AD3" s="12"/>
      <c r="AE3" s="12"/>
      <c r="AF3" s="12"/>
      <c r="AG3" s="11"/>
      <c r="AH3" s="11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2"/>
      <c r="CU3" s="12"/>
      <c r="CV3" s="12"/>
      <c r="CW3" s="13"/>
      <c r="CX3" s="13"/>
      <c r="CY3" s="13"/>
      <c r="CZ3" s="13"/>
      <c r="DA3" s="12"/>
      <c r="DB3" s="12"/>
      <c r="DC3" s="12"/>
      <c r="DD3" s="12"/>
      <c r="DE3" s="12"/>
      <c r="DF3" s="12"/>
      <c r="DG3" s="12"/>
      <c r="DH3" s="12"/>
      <c r="DI3" s="13"/>
      <c r="DJ3" s="12"/>
      <c r="DK3" s="12"/>
      <c r="DL3" s="12"/>
      <c r="DM3" s="12"/>
      <c r="DN3" s="12"/>
      <c r="DO3" s="12"/>
      <c r="DP3" s="12"/>
      <c r="DQ3" s="12"/>
    </row>
    <row r="4" spans="1:122" ht="51" customHeight="1" x14ac:dyDescent="0.25">
      <c r="A4" s="15" t="s">
        <v>37</v>
      </c>
      <c r="B4" s="16" t="s">
        <v>38</v>
      </c>
      <c r="C4" s="16" t="s">
        <v>39</v>
      </c>
      <c r="D4" s="16" t="s">
        <v>40</v>
      </c>
      <c r="E4" s="16" t="s">
        <v>41</v>
      </c>
      <c r="F4" s="16" t="s">
        <v>42</v>
      </c>
      <c r="G4" s="16" t="s">
        <v>43</v>
      </c>
      <c r="H4" s="17" t="s">
        <v>44</v>
      </c>
      <c r="I4" s="16" t="s">
        <v>45</v>
      </c>
      <c r="J4" s="16" t="s">
        <v>46</v>
      </c>
      <c r="K4" s="16" t="s">
        <v>47</v>
      </c>
      <c r="L4" s="16" t="s">
        <v>48</v>
      </c>
      <c r="M4" s="16" t="s">
        <v>49</v>
      </c>
      <c r="N4" s="16" t="s">
        <v>50</v>
      </c>
      <c r="O4" s="16" t="s">
        <v>82</v>
      </c>
      <c r="P4" s="16" t="s">
        <v>51</v>
      </c>
      <c r="Q4" s="16" t="s">
        <v>12</v>
      </c>
      <c r="R4" s="17" t="s">
        <v>52</v>
      </c>
      <c r="S4" s="19"/>
      <c r="T4" s="8"/>
      <c r="U4" s="8"/>
      <c r="V4" s="8"/>
      <c r="W4" s="8"/>
      <c r="X4" s="8"/>
      <c r="Y4" s="8"/>
      <c r="Z4" s="8"/>
      <c r="AA4" s="20" t="s">
        <v>0</v>
      </c>
      <c r="AB4" s="20" t="s">
        <v>1</v>
      </c>
      <c r="AC4" s="20" t="s">
        <v>2</v>
      </c>
      <c r="AD4" s="20" t="s">
        <v>3</v>
      </c>
      <c r="AE4" s="20" t="s">
        <v>4</v>
      </c>
      <c r="AF4" s="20" t="s">
        <v>5</v>
      </c>
      <c r="AG4" s="20" t="s">
        <v>6</v>
      </c>
      <c r="AH4" s="20" t="s">
        <v>7</v>
      </c>
      <c r="AI4" s="20" t="s">
        <v>8</v>
      </c>
      <c r="AJ4" s="20" t="s">
        <v>9</v>
      </c>
      <c r="AK4" s="20" t="s">
        <v>10</v>
      </c>
      <c r="AL4" s="20" t="s">
        <v>11</v>
      </c>
      <c r="AM4" s="20" t="s">
        <v>12</v>
      </c>
      <c r="AN4" s="20" t="s">
        <v>13</v>
      </c>
      <c r="AO4" s="20" t="s">
        <v>14</v>
      </c>
      <c r="AP4" s="20" t="s">
        <v>12</v>
      </c>
      <c r="AQ4" s="20" t="s">
        <v>15</v>
      </c>
      <c r="AR4" s="20" t="s">
        <v>16</v>
      </c>
      <c r="AS4" s="20" t="s">
        <v>17</v>
      </c>
      <c r="AT4" s="20" t="s">
        <v>18</v>
      </c>
      <c r="AU4" s="20" t="s">
        <v>19</v>
      </c>
      <c r="AV4" s="20" t="s">
        <v>20</v>
      </c>
      <c r="AW4" s="20" t="s">
        <v>21</v>
      </c>
      <c r="AX4" s="20" t="s">
        <v>22</v>
      </c>
      <c r="AY4" s="20" t="s">
        <v>23</v>
      </c>
      <c r="AZ4" s="20" t="s">
        <v>24</v>
      </c>
      <c r="BA4" s="20" t="s">
        <v>25</v>
      </c>
      <c r="BB4" s="20" t="s">
        <v>26</v>
      </c>
      <c r="BC4" s="20" t="s">
        <v>27</v>
      </c>
      <c r="BD4" s="20" t="s">
        <v>28</v>
      </c>
      <c r="BE4" s="20" t="s">
        <v>29</v>
      </c>
      <c r="BF4" s="20" t="s">
        <v>30</v>
      </c>
      <c r="BG4" s="20" t="s">
        <v>31</v>
      </c>
      <c r="BH4" s="20" t="s">
        <v>32</v>
      </c>
      <c r="BI4" s="20" t="s">
        <v>33</v>
      </c>
      <c r="BJ4" s="20" t="s">
        <v>34</v>
      </c>
      <c r="BK4" s="20" t="s">
        <v>35</v>
      </c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2"/>
      <c r="CV4" s="12"/>
      <c r="CW4" s="12"/>
      <c r="CX4" s="13"/>
      <c r="CY4" s="13"/>
      <c r="CZ4" s="13"/>
      <c r="DA4" s="13"/>
      <c r="DB4" s="12"/>
      <c r="DC4" s="12"/>
      <c r="DD4" s="12"/>
      <c r="DE4" s="12"/>
      <c r="DF4" s="12"/>
      <c r="DG4" s="12"/>
      <c r="DH4" s="12"/>
      <c r="DI4" s="12"/>
      <c r="DJ4" s="13"/>
      <c r="DK4" s="12"/>
      <c r="DL4" s="12"/>
      <c r="DM4" s="12"/>
      <c r="DN4" s="12"/>
      <c r="DO4" s="12"/>
      <c r="DP4" s="12"/>
      <c r="DQ4" s="12"/>
      <c r="DR4" s="12"/>
    </row>
    <row r="5" spans="1:122" ht="15" customHeight="1" x14ac:dyDescent="0.25">
      <c r="A5" s="22">
        <v>1</v>
      </c>
      <c r="B5" s="23">
        <v>44621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f>+SUM(C5:I5)</f>
        <v>0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25">
        <f>+J5-H5-K5-L5-M5-N5-O5-P5-R5</f>
        <v>0</v>
      </c>
      <c r="R5" s="25">
        <v>0</v>
      </c>
      <c r="S5" s="26"/>
      <c r="U5" s="27"/>
      <c r="V5" s="8"/>
      <c r="W5" s="27"/>
      <c r="X5" s="8"/>
      <c r="Y5" s="28"/>
      <c r="Z5" s="8"/>
      <c r="AA5" s="8">
        <v>2</v>
      </c>
      <c r="AB5" s="8" t="str">
        <f>+IF(M25=M28,"NO","YES")</f>
        <v>NO</v>
      </c>
      <c r="AC5" s="8" t="str">
        <f>+G2</f>
        <v>PAN</v>
      </c>
      <c r="AD5" s="8" t="str">
        <f>+A1</f>
        <v>NAME</v>
      </c>
      <c r="AE5" s="8">
        <f>+D24</f>
        <v>0</v>
      </c>
      <c r="AF5" s="8">
        <v>0</v>
      </c>
      <c r="AG5" s="8">
        <v>0</v>
      </c>
      <c r="AH5" s="8">
        <f>+SUM(AE5:AG5)</f>
        <v>0</v>
      </c>
      <c r="AI5" s="8">
        <f>+D26</f>
        <v>50000</v>
      </c>
      <c r="AJ5" s="8">
        <f>+D28</f>
        <v>0</v>
      </c>
      <c r="AK5" s="27">
        <f>+D30</f>
        <v>0</v>
      </c>
      <c r="AL5" s="8">
        <f>+D29+D27+D31</f>
        <v>0</v>
      </c>
      <c r="AM5" s="29">
        <f>+AH5-SUM(AI5:AL5)</f>
        <v>-50000</v>
      </c>
      <c r="AN5" s="8">
        <f>+IF(D32&gt;=200000,-200000,-D32)</f>
        <v>0</v>
      </c>
      <c r="AO5" s="29">
        <v>0</v>
      </c>
      <c r="AP5" s="29">
        <f>+AM5+AN5+AO5</f>
        <v>-50000</v>
      </c>
      <c r="AQ5" s="29">
        <f>+IF(H41&gt;0,H36-H25,H36)</f>
        <v>0</v>
      </c>
      <c r="AR5" s="29">
        <f t="array" ref="AR5">+IF(IF(AND((AQ5+AT5)&gt;=150000,AQ5&gt;=150000),150000-AT5,AQ5)&lt;0,0,IF(AND((AQ5+AT5)&gt;=150000,AQ5&gt;=150000),150000-AT5,IF(AND(SUM(AQ5+AT5)&gt;150000,AQ5&lt;150000),150000-AT5,AQ5)))</f>
        <v>0</v>
      </c>
      <c r="AS5" s="29">
        <f>+IF(H20&gt;0,L20,0)</f>
        <v>0</v>
      </c>
      <c r="AT5" s="29">
        <f>+AS5-AU5</f>
        <v>0</v>
      </c>
      <c r="AU5" s="29">
        <f>+IF(AND(H20&gt;0,L20&gt;50000),50000,IF(H20&gt;0,L20,0))</f>
        <v>0</v>
      </c>
      <c r="AV5" s="29">
        <f>+H20</f>
        <v>0</v>
      </c>
      <c r="AW5" s="29">
        <f>+H43</f>
        <v>0</v>
      </c>
      <c r="AX5" s="29">
        <f>+H45</f>
        <v>0</v>
      </c>
      <c r="AY5" s="29">
        <f>+H42</f>
        <v>0</v>
      </c>
      <c r="AZ5" s="29">
        <f>+H44</f>
        <v>0</v>
      </c>
      <c r="BA5" s="29">
        <f>+SUM(AW5:AZ5)+AV5+AU5+AT5+AR5</f>
        <v>0</v>
      </c>
      <c r="BB5" s="29">
        <f>+AP5-BA5</f>
        <v>-50000</v>
      </c>
      <c r="BC5" s="29">
        <f>+M28</f>
        <v>0</v>
      </c>
      <c r="BD5" s="29">
        <f>+M30</f>
        <v>0</v>
      </c>
      <c r="BE5" s="29">
        <f>+M32</f>
        <v>0</v>
      </c>
      <c r="BF5" s="29">
        <f>+M35</f>
        <v>0</v>
      </c>
      <c r="BG5" s="29">
        <f>+BC5-BD5+BE5-BF5</f>
        <v>0</v>
      </c>
      <c r="BH5" s="29">
        <f>+M34</f>
        <v>0</v>
      </c>
      <c r="BI5" s="29">
        <v>0</v>
      </c>
      <c r="BJ5" s="29">
        <f>+BH5+BI5</f>
        <v>0</v>
      </c>
      <c r="BK5" s="29">
        <f>+BG5-BJ5</f>
        <v>0</v>
      </c>
      <c r="BL5" s="29" t="str">
        <f>+IF(BB5=M24,"","NOT OK")</f>
        <v/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30"/>
      <c r="CF5" s="31"/>
      <c r="CG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30"/>
      <c r="CT5" s="30"/>
      <c r="CU5" s="32"/>
      <c r="CV5" s="30"/>
      <c r="CW5" s="30"/>
      <c r="CX5" s="29"/>
      <c r="CY5" s="33"/>
      <c r="CZ5" s="29"/>
      <c r="DA5" s="30"/>
      <c r="DB5" s="32"/>
      <c r="DC5" s="30"/>
      <c r="DD5" s="32"/>
      <c r="DE5" s="30"/>
      <c r="DF5" s="32"/>
      <c r="DG5" s="30"/>
      <c r="DH5" s="32"/>
      <c r="DI5" s="30"/>
      <c r="DJ5" s="30"/>
      <c r="DK5" s="32"/>
      <c r="DL5" s="30"/>
      <c r="DM5" s="32"/>
      <c r="DN5" s="30"/>
      <c r="DO5" s="32"/>
      <c r="DP5" s="30"/>
      <c r="DQ5" s="32"/>
      <c r="DR5" s="30"/>
    </row>
    <row r="6" spans="1:122" ht="15" customHeight="1" x14ac:dyDescent="0.25">
      <c r="A6" s="22">
        <v>2</v>
      </c>
      <c r="B6" s="23">
        <v>44652</v>
      </c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f t="shared" ref="J6:J18" si="0">+SUM(C6:I6)</f>
        <v>0</v>
      </c>
      <c r="K6" s="24">
        <v>0</v>
      </c>
      <c r="L6" s="24">
        <v>0</v>
      </c>
      <c r="M6" s="24">
        <v>0</v>
      </c>
      <c r="N6" s="24">
        <v>0</v>
      </c>
      <c r="O6" s="24">
        <v>0</v>
      </c>
      <c r="P6" s="24">
        <v>0</v>
      </c>
      <c r="Q6" s="25">
        <f t="shared" ref="Q6:Q19" si="1">+J6-H6-K6-L6-M6-N6-O6-P6-R6</f>
        <v>0</v>
      </c>
      <c r="R6" s="25">
        <v>0</v>
      </c>
      <c r="S6" s="26"/>
      <c r="U6" s="27"/>
      <c r="V6" s="8"/>
      <c r="W6" s="27"/>
      <c r="X6" s="8"/>
      <c r="Y6" s="2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</row>
    <row r="7" spans="1:122" ht="15" customHeight="1" x14ac:dyDescent="0.25">
      <c r="A7" s="22">
        <v>3</v>
      </c>
      <c r="B7" s="23">
        <v>44682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f t="shared" si="0"/>
        <v>0</v>
      </c>
      <c r="K7" s="24">
        <v>0</v>
      </c>
      <c r="L7" s="24">
        <v>0</v>
      </c>
      <c r="M7" s="24">
        <v>0</v>
      </c>
      <c r="N7" s="24">
        <v>0</v>
      </c>
      <c r="O7" s="24">
        <v>0</v>
      </c>
      <c r="P7" s="24">
        <v>0</v>
      </c>
      <c r="Q7" s="25">
        <f t="shared" si="1"/>
        <v>0</v>
      </c>
      <c r="R7" s="25">
        <v>0</v>
      </c>
      <c r="S7" s="26"/>
      <c r="U7" s="27"/>
      <c r="V7" s="8"/>
      <c r="W7" s="27"/>
      <c r="X7" s="8"/>
      <c r="Y7" s="2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</row>
    <row r="8" spans="1:122" ht="15" customHeight="1" x14ac:dyDescent="0.25">
      <c r="A8" s="22">
        <v>4</v>
      </c>
      <c r="B8" s="23">
        <v>44713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f t="shared" si="0"/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5">
        <f t="shared" si="1"/>
        <v>0</v>
      </c>
      <c r="R8" s="25">
        <v>0</v>
      </c>
      <c r="S8" s="26"/>
      <c r="U8" s="27"/>
      <c r="V8" s="8"/>
      <c r="W8" s="27"/>
      <c r="X8" s="8"/>
      <c r="Y8" s="2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</row>
    <row r="9" spans="1:122" ht="15" customHeight="1" x14ac:dyDescent="0.25">
      <c r="A9" s="22">
        <v>5</v>
      </c>
      <c r="B9" s="23">
        <v>44743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f t="shared" si="0"/>
        <v>0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5">
        <f t="shared" si="1"/>
        <v>0</v>
      </c>
      <c r="R9" s="25">
        <v>0</v>
      </c>
      <c r="S9" s="26"/>
      <c r="U9" s="27"/>
      <c r="V9" s="8"/>
      <c r="W9" s="27"/>
      <c r="X9" s="8"/>
      <c r="Y9" s="2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</row>
    <row r="10" spans="1:122" ht="15" customHeight="1" x14ac:dyDescent="0.25">
      <c r="A10" s="22">
        <v>6</v>
      </c>
      <c r="B10" s="23">
        <v>44774</v>
      </c>
      <c r="C10" s="24">
        <v>0</v>
      </c>
      <c r="D10" s="24">
        <v>0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24">
        <f t="shared" si="0"/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5">
        <f t="shared" si="1"/>
        <v>0</v>
      </c>
      <c r="R10" s="25">
        <v>0</v>
      </c>
      <c r="S10" s="26"/>
      <c r="U10" s="27"/>
      <c r="V10" s="8"/>
      <c r="W10" s="27"/>
      <c r="X10" s="8"/>
      <c r="Y10" s="2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</row>
    <row r="11" spans="1:122" ht="15" customHeight="1" x14ac:dyDescent="0.25">
      <c r="A11" s="22">
        <v>7</v>
      </c>
      <c r="B11" s="23">
        <v>44805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f t="shared" si="0"/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5">
        <f t="shared" si="1"/>
        <v>0</v>
      </c>
      <c r="R11" s="25">
        <v>0</v>
      </c>
      <c r="S11" s="26"/>
      <c r="U11" s="27"/>
      <c r="V11" s="8"/>
      <c r="W11" s="27"/>
      <c r="X11" s="8"/>
      <c r="Y11" s="2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</row>
    <row r="12" spans="1:122" ht="15" customHeight="1" x14ac:dyDescent="0.25">
      <c r="A12" s="22">
        <v>8</v>
      </c>
      <c r="B12" s="23">
        <v>44835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f t="shared" si="0"/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5">
        <f t="shared" si="1"/>
        <v>0</v>
      </c>
      <c r="R12" s="25">
        <v>0</v>
      </c>
      <c r="S12" s="26"/>
      <c r="U12" s="27"/>
      <c r="V12" s="8"/>
      <c r="W12" s="27"/>
      <c r="X12" s="8"/>
      <c r="Y12" s="2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</row>
    <row r="13" spans="1:122" ht="15" customHeight="1" x14ac:dyDescent="0.25">
      <c r="A13" s="22">
        <v>9</v>
      </c>
      <c r="B13" s="23">
        <v>44866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f t="shared" si="0"/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5">
        <f t="shared" si="1"/>
        <v>0</v>
      </c>
      <c r="R13" s="25">
        <v>0</v>
      </c>
      <c r="S13" s="26"/>
      <c r="U13" s="27"/>
      <c r="V13" s="8"/>
      <c r="W13" s="27"/>
      <c r="X13" s="8"/>
      <c r="Y13" s="2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</row>
    <row r="14" spans="1:122" ht="15" customHeight="1" x14ac:dyDescent="0.25">
      <c r="A14" s="22">
        <v>10</v>
      </c>
      <c r="B14" s="23">
        <v>44896</v>
      </c>
      <c r="C14" s="24">
        <v>0</v>
      </c>
      <c r="D14" s="24">
        <v>0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f t="shared" si="0"/>
        <v>0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5">
        <f t="shared" si="1"/>
        <v>0</v>
      </c>
      <c r="R14" s="25">
        <v>0</v>
      </c>
      <c r="S14" s="26"/>
      <c r="U14" s="27"/>
      <c r="V14" s="8"/>
      <c r="W14" s="27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</row>
    <row r="15" spans="1:122" ht="15" customHeight="1" x14ac:dyDescent="0.25">
      <c r="A15" s="22">
        <v>11</v>
      </c>
      <c r="B15" s="23">
        <v>44927</v>
      </c>
      <c r="C15" s="24">
        <v>0</v>
      </c>
      <c r="D15" s="24">
        <v>0</v>
      </c>
      <c r="E15" s="24">
        <v>0</v>
      </c>
      <c r="F15" s="24">
        <v>0</v>
      </c>
      <c r="G15" s="24">
        <v>0</v>
      </c>
      <c r="H15" s="24">
        <v>0</v>
      </c>
      <c r="I15" s="24">
        <v>0</v>
      </c>
      <c r="J15" s="24">
        <f t="shared" si="0"/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5">
        <f t="shared" si="1"/>
        <v>0</v>
      </c>
      <c r="R15" s="25">
        <v>0</v>
      </c>
      <c r="S15" s="26"/>
      <c r="U15" s="27"/>
      <c r="V15" s="8"/>
      <c r="W15" s="27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</row>
    <row r="16" spans="1:122" ht="15" customHeight="1" x14ac:dyDescent="0.25">
      <c r="A16" s="24">
        <v>12</v>
      </c>
      <c r="B16" s="23">
        <v>44958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f t="shared" si="0"/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5">
        <f t="shared" si="1"/>
        <v>0</v>
      </c>
      <c r="R16" s="25">
        <v>0</v>
      </c>
      <c r="S16" s="26"/>
      <c r="U16" s="27"/>
      <c r="V16" s="8"/>
      <c r="W16" s="27"/>
      <c r="X16" s="2"/>
      <c r="Y16" s="2"/>
      <c r="Z16" s="34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</row>
    <row r="17" spans="1:122" ht="15" customHeight="1" x14ac:dyDescent="0.25">
      <c r="A17" s="22">
        <v>13</v>
      </c>
      <c r="B17" s="35" t="s">
        <v>53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f t="shared" si="0"/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5">
        <f t="shared" si="1"/>
        <v>0</v>
      </c>
      <c r="R17" s="25">
        <v>0</v>
      </c>
      <c r="S17" s="26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</row>
    <row r="18" spans="1:122" ht="15" customHeight="1" x14ac:dyDescent="0.25">
      <c r="A18" s="22">
        <v>14</v>
      </c>
      <c r="B18" s="35" t="s">
        <v>54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f t="shared" si="0"/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5">
        <f t="shared" si="1"/>
        <v>0</v>
      </c>
      <c r="R18" s="25">
        <v>0</v>
      </c>
      <c r="S18" s="26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</row>
    <row r="19" spans="1:122" ht="15" customHeight="1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4"/>
      <c r="K19" s="24"/>
      <c r="L19" s="24"/>
      <c r="M19" s="24"/>
      <c r="N19" s="24">
        <v>0</v>
      </c>
      <c r="O19" s="24">
        <v>0</v>
      </c>
      <c r="P19" s="24">
        <v>0</v>
      </c>
      <c r="Q19" s="25">
        <f t="shared" si="1"/>
        <v>0</v>
      </c>
      <c r="R19" s="25">
        <v>0</v>
      </c>
      <c r="S19" s="26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</row>
    <row r="20" spans="1:122" ht="15" customHeight="1" x14ac:dyDescent="0.25">
      <c r="A20" s="36"/>
      <c r="B20" s="37" t="s">
        <v>34</v>
      </c>
      <c r="C20" s="37">
        <f t="shared" ref="C20:R20" si="2">SUM(C5:C19)</f>
        <v>0</v>
      </c>
      <c r="D20" s="37">
        <f t="shared" si="2"/>
        <v>0</v>
      </c>
      <c r="E20" s="37">
        <f t="shared" si="2"/>
        <v>0</v>
      </c>
      <c r="F20" s="37">
        <f t="shared" si="2"/>
        <v>0</v>
      </c>
      <c r="G20" s="37">
        <f t="shared" si="2"/>
        <v>0</v>
      </c>
      <c r="H20" s="37">
        <f>SUM(H5:H19)</f>
        <v>0</v>
      </c>
      <c r="I20" s="37">
        <f t="shared" si="2"/>
        <v>0</v>
      </c>
      <c r="J20" s="37">
        <f t="shared" si="2"/>
        <v>0</v>
      </c>
      <c r="K20" s="37">
        <f t="shared" si="2"/>
        <v>0</v>
      </c>
      <c r="L20" s="37">
        <f t="shared" si="2"/>
        <v>0</v>
      </c>
      <c r="M20" s="37">
        <f t="shared" si="2"/>
        <v>0</v>
      </c>
      <c r="N20" s="37">
        <f t="shared" si="2"/>
        <v>0</v>
      </c>
      <c r="O20" s="37">
        <f t="shared" si="2"/>
        <v>0</v>
      </c>
      <c r="P20" s="37">
        <f t="shared" si="2"/>
        <v>0</v>
      </c>
      <c r="Q20" s="37">
        <f t="shared" si="2"/>
        <v>0</v>
      </c>
      <c r="R20" s="37">
        <f t="shared" si="2"/>
        <v>0</v>
      </c>
      <c r="S20" s="26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</row>
    <row r="21" spans="1:122" ht="15" customHeight="1" x14ac:dyDescent="0.25">
      <c r="A21" s="8"/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8"/>
      <c r="P21" s="8"/>
      <c r="Q21" s="8"/>
      <c r="R21" s="8"/>
      <c r="S21" s="26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</row>
    <row r="22" spans="1:122" ht="15" customHeight="1" x14ac:dyDescent="0.25">
      <c r="A22" s="8"/>
      <c r="B22" s="40" t="s">
        <v>55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</row>
    <row r="23" spans="1:122" ht="15" customHeight="1" x14ac:dyDescent="0.25">
      <c r="A23" s="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</row>
    <row r="24" spans="1:122" ht="15" customHeight="1" x14ac:dyDescent="0.25">
      <c r="A24" s="8"/>
      <c r="B24" s="41" t="s">
        <v>56</v>
      </c>
      <c r="C24" s="8"/>
      <c r="D24" s="8">
        <f>+J20</f>
        <v>0</v>
      </c>
      <c r="E24" s="8"/>
      <c r="F24" s="8"/>
      <c r="G24" s="41" t="s">
        <v>57</v>
      </c>
      <c r="H24" s="41"/>
      <c r="I24" s="41"/>
      <c r="J24" s="41"/>
      <c r="K24" s="8" t="s">
        <v>58</v>
      </c>
      <c r="L24" s="8"/>
      <c r="M24" s="8">
        <f>+D35-H37-H46</f>
        <v>-50000</v>
      </c>
      <c r="N24" s="8"/>
      <c r="O24" s="42"/>
      <c r="P24" s="43"/>
      <c r="Q24" s="34"/>
      <c r="R24" s="34"/>
      <c r="S24" s="34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 t="str">
        <f t="array" ref="AP24">+UPPER(G2)</f>
        <v>PAN</v>
      </c>
      <c r="AQ24" s="8" t="str">
        <f>+UPPER(A1)</f>
        <v>NAME</v>
      </c>
      <c r="AR24" s="27">
        <f>+M33-M35</f>
        <v>0</v>
      </c>
      <c r="AS24" s="27">
        <f>+R20</f>
        <v>0</v>
      </c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</row>
    <row r="25" spans="1:122" ht="15" customHeight="1" x14ac:dyDescent="0.25">
      <c r="A25" s="8"/>
      <c r="B25" s="41" t="s">
        <v>59</v>
      </c>
      <c r="C25" s="8"/>
      <c r="D25" s="8"/>
      <c r="E25" s="8"/>
      <c r="F25" s="44" t="s">
        <v>60</v>
      </c>
      <c r="G25" s="8" t="s">
        <v>48</v>
      </c>
      <c r="H25" s="8">
        <f>+IF(H20&gt;0,L20-H40,L20)</f>
        <v>0</v>
      </c>
      <c r="I25" s="8"/>
      <c r="J25" s="8"/>
      <c r="K25" s="8" t="s">
        <v>61</v>
      </c>
      <c r="L25" s="8"/>
      <c r="M25" s="45">
        <f>IF(AND(N3="M",M24&lt;=250000),0,IF(AND(N3="F",M24&lt;=250000),0,IF(AND(N3="M",M24&lt;=500000),ROUND((M24-250000)*5%,0),IF(AND(N3="F",M24&lt;=500000),ROUND((M24-250000)*5%,0),IF(AND(N3="M",M24&lt;=1000000),12500+ROUND((M24-500000)*20%,0),IF(AND(N3="F",M24&lt;=1000000),12500+ROUND((M24-500000)*20%,0),IF(AND(N3="M",M24&gt;=1000000),112500+ROUND((M24-1000000)*30%,0),112500+ROUND((M24-1000000)*30%,0))))))))</f>
        <v>0</v>
      </c>
      <c r="N25" s="8"/>
      <c r="O25" s="46"/>
      <c r="P25" s="27"/>
      <c r="Q25" s="27"/>
      <c r="R25" s="27"/>
      <c r="S25" s="27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</row>
    <row r="26" spans="1:122" ht="15" customHeight="1" x14ac:dyDescent="0.25">
      <c r="A26" s="8"/>
      <c r="B26" s="8" t="s">
        <v>62</v>
      </c>
      <c r="C26" s="8"/>
      <c r="D26" s="8">
        <v>50000</v>
      </c>
      <c r="E26" s="8"/>
      <c r="F26" s="44" t="s">
        <v>63</v>
      </c>
      <c r="G26" s="8" t="s">
        <v>49</v>
      </c>
      <c r="H26" s="8">
        <f>+M20</f>
        <v>0</v>
      </c>
      <c r="I26" s="8"/>
      <c r="J26" s="8"/>
      <c r="K26" s="8" t="s">
        <v>64</v>
      </c>
      <c r="L26" s="8"/>
      <c r="M26" s="45">
        <f>+IF(AND(B21="GN",(D24-H41)&lt;=250000,B22="OLD"),0,IF(AND(B21="SC",(D24-H41)&lt;=300000,B22="OLD"),0,IF(AND(B21="SSC",(D24-H41)&lt;=500000,B22="OLD"),0,IF(AND(B21="GN",B22="OLD",(D24-H41)&lt;=500000),ROUND(((D24-H41)-250000)*5%,0),IF(AND(B22="OLD",B21="SC",(D24-H41)&lt;=500000),ROUND(((D24-H41)-300000)*5%,0),IF(AND(B22="OLD",(D24-H41)&lt;=1000000,B21="GN"),ROUND(((D24-H41)-500000)*20%+(12500),0),IF(AND(B21="SC",B22="OLD",(D24-H41)&lt;=1000000),ROUND(((D24-H41)-500000)*20%+(10000),0),IF(AND(B21="SSC",B22="OLD",(D24-H41)&lt;=1000000),ROUND(((D24-H41)-500000)*20%,0),IF(AND(B22="OLD",B21="GN",(D24-H41)&gt;1000000),ROUND(((D24-H41)-1000000)*30%+(112500),0),IF(AND(B22="OLD",B21="SC",(D24-H41)&gt;1000000),ROUND(((D24-H41)-1000000)*30%+(110000),0),IF(AND(B21="SSC",B22="OLD",(D24-H41)&gt;1000000),ROUND(((D24-H41)-1000000)*30%+(100000),0),IF(AND(B22="NEW",(D24-H41)&lt;=250000),0,IF(AND(B22="NEW",(D24-H41)&lt;=500000),ROUND(((D24-H41)-250000)*5%,0),IF(AND(B22="NEW",(D24-H41)&lt;=750000),ROUND(((D24-H41)-500000)*10%+(12500),0),IF(AND(B22="NEW",(D24-H41)&lt;=1000000),ROUND(((D24-H41)-750000)*15%+(37500),0),IF(AND(B22="NEW",(D24-H41)&lt;=1250000),ROUND(((D24-H41)-1000000)*20%+(75000),0),IF(AND(B22="NEW",(D24-H41)&lt;=1500000),ROUND(((D24-H41)-1250000)*25%+(125000),0),IF(AND(B22="NEW",(D24-H41)&gt;1500000),ROUND(((D24-H41)-1500000)*30%+(187500),0)))))))))))))))))))</f>
        <v>0</v>
      </c>
      <c r="N26" s="8"/>
      <c r="O26" s="46"/>
      <c r="P26" s="27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</row>
    <row r="27" spans="1:122" ht="15" customHeight="1" x14ac:dyDescent="0.25">
      <c r="A27" s="8"/>
      <c r="B27" s="8" t="s">
        <v>43</v>
      </c>
      <c r="C27" s="8"/>
      <c r="D27" s="8">
        <f>+G20</f>
        <v>0</v>
      </c>
      <c r="E27" s="8"/>
      <c r="F27" s="44" t="s">
        <v>65</v>
      </c>
      <c r="G27" s="8" t="s">
        <v>66</v>
      </c>
      <c r="H27" s="8">
        <f>+N20</f>
        <v>0</v>
      </c>
      <c r="I27" s="8"/>
      <c r="J27" s="8"/>
      <c r="K27" s="8"/>
      <c r="L27" s="8"/>
      <c r="M27" s="8"/>
      <c r="N27" s="8"/>
      <c r="O27" s="46"/>
      <c r="P27" s="2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</row>
    <row r="28" spans="1:122" ht="15" customHeight="1" x14ac:dyDescent="0.25">
      <c r="A28" s="8"/>
      <c r="B28" s="47" t="s">
        <v>67</v>
      </c>
      <c r="C28" s="8"/>
      <c r="D28" s="8">
        <f>+K20</f>
        <v>0</v>
      </c>
      <c r="E28" s="8"/>
      <c r="F28" s="44" t="s">
        <v>68</v>
      </c>
      <c r="G28" s="8" t="s">
        <v>69</v>
      </c>
      <c r="H28" s="8">
        <v>0</v>
      </c>
      <c r="I28" s="8"/>
      <c r="J28" s="8"/>
      <c r="K28" s="8" t="s">
        <v>70</v>
      </c>
      <c r="L28" s="8"/>
      <c r="M28" s="48">
        <f>+IF(M25&gt;M26,M26,M25)</f>
        <v>0</v>
      </c>
      <c r="N28" s="8"/>
      <c r="O28" s="46"/>
      <c r="P28" s="27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</row>
    <row r="29" spans="1:122" ht="15" customHeight="1" x14ac:dyDescent="0.25">
      <c r="A29" s="8"/>
      <c r="B29" s="8" t="s">
        <v>71</v>
      </c>
      <c r="C29" s="8"/>
      <c r="D29" s="8">
        <v>0</v>
      </c>
      <c r="E29" s="8"/>
      <c r="F29" s="44" t="s">
        <v>72</v>
      </c>
      <c r="G29" s="8" t="s">
        <v>73</v>
      </c>
      <c r="H29" s="8">
        <f>+IF(O4="HBA HOUSE",O20,0)</f>
        <v>0</v>
      </c>
      <c r="I29" s="47"/>
      <c r="J29" s="47"/>
      <c r="K29" s="8"/>
      <c r="L29" s="8"/>
      <c r="M29" s="8"/>
      <c r="N29" s="8"/>
      <c r="O29" s="46"/>
      <c r="P29" s="2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</row>
    <row r="30" spans="1:122" ht="15" customHeight="1" x14ac:dyDescent="0.25">
      <c r="A30" s="8"/>
      <c r="B30" s="47" t="s">
        <v>74</v>
      </c>
      <c r="C30" s="8"/>
      <c r="D30" s="27">
        <f>IF(E20=0,0,MIN(D39:D43))</f>
        <v>0</v>
      </c>
      <c r="E30" s="8"/>
      <c r="F30" s="44" t="s">
        <v>75</v>
      </c>
      <c r="G30" s="47" t="s">
        <v>76</v>
      </c>
      <c r="H30" s="8">
        <v>0</v>
      </c>
      <c r="I30" s="8"/>
      <c r="J30" s="8"/>
      <c r="K30" s="8" t="s">
        <v>77</v>
      </c>
      <c r="L30" s="8"/>
      <c r="M30" s="45">
        <f>IF(M24&gt;500000,0,IF(M28&gt;=12500,12500,M28))</f>
        <v>0</v>
      </c>
      <c r="N30" s="8"/>
      <c r="O30" s="46"/>
      <c r="P30" s="2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</row>
    <row r="31" spans="1:122" ht="15" customHeight="1" x14ac:dyDescent="0.25">
      <c r="A31" s="8"/>
      <c r="B31" s="8" t="s">
        <v>78</v>
      </c>
      <c r="C31" s="8"/>
      <c r="D31" s="8">
        <v>0</v>
      </c>
      <c r="E31" s="8"/>
      <c r="F31" s="44" t="s">
        <v>79</v>
      </c>
      <c r="G31" s="8" t="s">
        <v>80</v>
      </c>
      <c r="H31" s="8">
        <v>0</v>
      </c>
      <c r="I31" s="8"/>
      <c r="J31" s="8"/>
      <c r="K31" s="8" t="s">
        <v>81</v>
      </c>
      <c r="L31" s="8"/>
      <c r="M31" s="48">
        <f>+M28-M30</f>
        <v>0</v>
      </c>
      <c r="N31" s="8"/>
      <c r="O31" s="46"/>
      <c r="P31" s="27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</row>
    <row r="32" spans="1:122" ht="15" customHeight="1" x14ac:dyDescent="0.25">
      <c r="A32" s="8"/>
      <c r="B32" s="47" t="s">
        <v>82</v>
      </c>
      <c r="C32" s="8"/>
      <c r="D32" s="8">
        <f>+IF(O4=B32,O20,0)</f>
        <v>0</v>
      </c>
      <c r="E32" s="8"/>
      <c r="F32" s="44" t="s">
        <v>83</v>
      </c>
      <c r="G32" s="8" t="s">
        <v>84</v>
      </c>
      <c r="H32" s="8">
        <v>0</v>
      </c>
      <c r="I32" s="8"/>
      <c r="J32" s="8"/>
      <c r="K32" s="8" t="s">
        <v>85</v>
      </c>
      <c r="L32" s="8"/>
      <c r="M32" s="8">
        <f>ROUND(M31*4%,0)</f>
        <v>0</v>
      </c>
      <c r="N32" s="8"/>
      <c r="O32" s="46"/>
      <c r="P32" s="27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</row>
    <row r="33" spans="1:122" ht="15" customHeight="1" x14ac:dyDescent="0.25">
      <c r="A33" s="8"/>
      <c r="B33" s="8"/>
      <c r="C33" s="8"/>
      <c r="D33" s="8"/>
      <c r="E33" s="8"/>
      <c r="F33" s="44" t="s">
        <v>86</v>
      </c>
      <c r="G33" s="8" t="s">
        <v>87</v>
      </c>
      <c r="H33" s="8">
        <v>0</v>
      </c>
      <c r="I33" s="8"/>
      <c r="J33" s="18"/>
      <c r="K33" s="47" t="s">
        <v>88</v>
      </c>
      <c r="L33" s="47"/>
      <c r="M33" s="48">
        <f>+M31+M32</f>
        <v>0</v>
      </c>
      <c r="N33" s="8"/>
      <c r="O33" s="46"/>
      <c r="P33" s="27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</row>
    <row r="34" spans="1:122" ht="15" customHeight="1" x14ac:dyDescent="0.25">
      <c r="A34" s="8"/>
      <c r="B34" s="49" t="s">
        <v>89</v>
      </c>
      <c r="C34" s="8"/>
      <c r="D34" s="8">
        <f>SUM(D26:D31)+IF(D32&gt;200000, 200000,D32 )</f>
        <v>50000</v>
      </c>
      <c r="E34" s="8"/>
      <c r="F34" s="44" t="s">
        <v>90</v>
      </c>
      <c r="G34" s="8" t="s">
        <v>91</v>
      </c>
      <c r="H34" s="8">
        <v>0</v>
      </c>
      <c r="I34" s="8"/>
      <c r="J34" s="8"/>
      <c r="K34" s="8" t="s">
        <v>92</v>
      </c>
      <c r="L34" s="8"/>
      <c r="M34" s="27">
        <f>+R20</f>
        <v>0</v>
      </c>
      <c r="N34" s="8"/>
      <c r="O34" s="46"/>
      <c r="P34" s="27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</row>
    <row r="35" spans="1:122" ht="24" customHeight="1" x14ac:dyDescent="0.25">
      <c r="A35" s="8"/>
      <c r="B35" s="56" t="s">
        <v>93</v>
      </c>
      <c r="C35" s="8"/>
      <c r="D35" s="50">
        <f>+D24-D34</f>
        <v>-50000</v>
      </c>
      <c r="E35" s="8"/>
      <c r="F35" s="44" t="s">
        <v>94</v>
      </c>
      <c r="G35" s="8" t="s">
        <v>95</v>
      </c>
      <c r="H35" s="8">
        <v>0</v>
      </c>
      <c r="I35" s="18"/>
      <c r="J35" s="8"/>
      <c r="K35" s="8" t="s">
        <v>96</v>
      </c>
      <c r="L35" s="8"/>
      <c r="M35" s="48">
        <v>0</v>
      </c>
      <c r="N35" s="8"/>
      <c r="O35" s="46"/>
      <c r="P35" s="27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</row>
    <row r="36" spans="1:122" ht="15" customHeight="1" x14ac:dyDescent="0.25">
      <c r="A36" s="8"/>
      <c r="B36" s="8"/>
      <c r="C36" s="8"/>
      <c r="D36" s="8"/>
      <c r="E36" s="8"/>
      <c r="F36" s="8"/>
      <c r="G36" s="51" t="s">
        <v>97</v>
      </c>
      <c r="H36" s="8">
        <f>SUM(H25:H35)</f>
        <v>0</v>
      </c>
      <c r="I36" s="8"/>
      <c r="J36" s="41"/>
      <c r="K36" s="47"/>
      <c r="L36" s="8"/>
      <c r="M36" s="27"/>
      <c r="N36" s="8"/>
      <c r="O36" s="46"/>
      <c r="P36" s="27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</row>
    <row r="37" spans="1:122" ht="15" customHeight="1" thickBot="1" x14ac:dyDescent="0.3">
      <c r="A37" s="8"/>
      <c r="B37" s="8"/>
      <c r="C37" s="8"/>
      <c r="D37" s="8"/>
      <c r="E37" s="8"/>
      <c r="F37" s="8"/>
      <c r="G37" s="49" t="s">
        <v>98</v>
      </c>
      <c r="H37" s="50">
        <f>+IF(H36&lt;=150000,H36,150000)</f>
        <v>0</v>
      </c>
      <c r="I37" s="8"/>
      <c r="J37" s="47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</row>
    <row r="38" spans="1:122" ht="15.75" customHeight="1" thickBot="1" x14ac:dyDescent="0.3">
      <c r="A38" s="8"/>
      <c r="B38" s="49" t="s">
        <v>99</v>
      </c>
      <c r="C38" s="49"/>
      <c r="D38" s="49"/>
      <c r="E38" s="8"/>
      <c r="F38" s="8"/>
      <c r="G38" s="8"/>
      <c r="H38" s="8"/>
      <c r="I38" s="41"/>
      <c r="J38" s="8"/>
      <c r="K38" s="8" t="s">
        <v>100</v>
      </c>
      <c r="L38" s="52"/>
      <c r="M38" s="53">
        <f>+M33-M34-M35</f>
        <v>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</row>
    <row r="39" spans="1:122" ht="15" customHeight="1" x14ac:dyDescent="0.25">
      <c r="A39" s="8"/>
      <c r="B39" s="2" t="s">
        <v>101</v>
      </c>
      <c r="C39" s="8"/>
      <c r="D39" s="2">
        <f>+E20</f>
        <v>0</v>
      </c>
      <c r="E39" s="8"/>
      <c r="F39" s="8"/>
      <c r="G39" s="41" t="s">
        <v>102</v>
      </c>
      <c r="H39" s="41"/>
      <c r="I39" s="47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</row>
    <row r="40" spans="1:122" ht="15" customHeight="1" x14ac:dyDescent="0.25">
      <c r="A40" s="8"/>
      <c r="B40" s="8" t="s">
        <v>113</v>
      </c>
      <c r="C40" s="8"/>
      <c r="D40" s="34">
        <f>+(C20)*40/100</f>
        <v>0</v>
      </c>
      <c r="E40" s="8"/>
      <c r="F40" s="44" t="s">
        <v>60</v>
      </c>
      <c r="G40" s="8" t="s">
        <v>103</v>
      </c>
      <c r="H40" s="54">
        <f>+IF(AND(H20&gt;0,L20&gt;50000),50000,IF(H20&gt;0,L20,0))</f>
        <v>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</row>
    <row r="41" spans="1:122" ht="15" customHeight="1" x14ac:dyDescent="0.25">
      <c r="A41" s="8"/>
      <c r="B41" s="8" t="s">
        <v>114</v>
      </c>
      <c r="C41" s="34">
        <f>+(C20)*10/100</f>
        <v>0</v>
      </c>
      <c r="D41" s="8"/>
      <c r="E41" s="8"/>
      <c r="F41" s="44" t="s">
        <v>63</v>
      </c>
      <c r="G41" s="8" t="s">
        <v>44</v>
      </c>
      <c r="H41" s="8">
        <f>+H20</f>
        <v>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</row>
    <row r="42" spans="1:122" ht="15" customHeight="1" x14ac:dyDescent="0.25">
      <c r="A42" s="8"/>
      <c r="B42" s="2" t="s">
        <v>104</v>
      </c>
      <c r="C42" s="55">
        <v>0</v>
      </c>
      <c r="D42" s="8"/>
      <c r="E42" s="8"/>
      <c r="F42" s="44" t="s">
        <v>65</v>
      </c>
      <c r="G42" s="47" t="s">
        <v>105</v>
      </c>
      <c r="H42" s="54">
        <v>0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</row>
    <row r="43" spans="1:122" ht="15" customHeight="1" x14ac:dyDescent="0.25">
      <c r="A43" s="8"/>
      <c r="B43" s="8" t="s">
        <v>106</v>
      </c>
      <c r="C43" s="8"/>
      <c r="D43" s="34">
        <f>+IF(C42&gt;C41,C42-C41, 0)</f>
        <v>0</v>
      </c>
      <c r="E43" s="8"/>
      <c r="F43" s="44" t="s">
        <v>107</v>
      </c>
      <c r="G43" s="47" t="s">
        <v>108</v>
      </c>
      <c r="H43" s="54">
        <v>0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</row>
    <row r="44" spans="1:122" ht="15" customHeight="1" x14ac:dyDescent="0.25">
      <c r="A44" s="8"/>
      <c r="B44" s="8"/>
      <c r="C44" s="8"/>
      <c r="D44" s="8"/>
      <c r="E44" s="8"/>
      <c r="F44" s="44" t="s">
        <v>72</v>
      </c>
      <c r="G44" s="8" t="s">
        <v>109</v>
      </c>
      <c r="H44" s="8">
        <v>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</row>
    <row r="45" spans="1:122" ht="15" customHeight="1" x14ac:dyDescent="0.25">
      <c r="A45" s="8"/>
      <c r="B45" s="8"/>
      <c r="C45" s="8"/>
      <c r="D45" s="8"/>
      <c r="E45" s="8"/>
      <c r="F45" s="44" t="s">
        <v>75</v>
      </c>
      <c r="G45" s="8" t="s">
        <v>110</v>
      </c>
      <c r="H45" s="8">
        <v>0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</row>
    <row r="46" spans="1:122" ht="15" customHeight="1" x14ac:dyDescent="0.25">
      <c r="A46" s="2"/>
      <c r="B46" s="2"/>
      <c r="C46" s="2"/>
      <c r="D46" s="2"/>
      <c r="E46" s="2"/>
      <c r="F46" s="8"/>
      <c r="G46" s="8"/>
      <c r="H46" s="50">
        <f>SUM(H40:H45)</f>
        <v>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</row>
  </sheetData>
  <dataValidations count="16">
    <dataValidation type="list" allowBlank="1" showErrorMessage="1" sqref="DA5 CE5 DJ5 CS5:CT5" xr:uid="{00000000-0002-0000-0000-000000000000}">
      <formula1>"No,Yes"</formula1>
    </dataValidation>
    <dataValidation allowBlank="1" showInputMessage="1" showErrorMessage="1" promptTitle="Manually Edit Standard Deduction" prompt="No or Yes" sqref="AU3" xr:uid="{00000000-0002-0000-0000-000001000000}"/>
    <dataValidation allowBlank="1" showInputMessage="1" showErrorMessage="1" promptTitle="Date of Birth" prompt="The date format should be dd/MM/yyyy_x000a__x000a_e.g. 12th November, 2004 should be written as 12/11/2004_x000a__x000a_If Date of Birth is unknown, please specify 00/00/0000 for Senior Citizen and 00/00/0001 for Super Senior Citizen_x000a__x000a_- SAG Infotech" sqref="AF3" xr:uid="{00000000-0002-0000-0000-000002000000}"/>
    <dataValidation allowBlank="1" showInputMessage="1" showErrorMessage="1" promptTitle="Sex" prompt="Enter Employee Sex_x000a__x000a_- SAG Infotech" sqref="AE3" xr:uid="{00000000-0002-0000-0000-000003000000}"/>
    <dataValidation allowBlank="1" showInputMessage="1" showErrorMessage="1" promptTitle="Designation" prompt="Enter Employee Designation_x000a__x000a_- SAG Infotech" sqref="AD3" xr:uid="{00000000-0002-0000-0000-000004000000}"/>
    <dataValidation allowBlank="1" showInputMessage="1" showErrorMessage="1" promptTitle="Employee Ref. No." prompt="Unique Employee Ref. No._x000a__x000a_e.g. 1,2,3,4 or 5_x000a__x000a_- SAG Infotech" sqref="AA3" xr:uid="{00000000-0002-0000-0000-000005000000}"/>
    <dataValidation allowBlank="1" showInputMessage="1" showErrorMessage="1" promptTitle="Enter Date" prompt="The date format should be dd/MM/yyyy_x000a__x000a_e.g. 12th November, 2004 should be written as 12/11/2004_x000a__x000a_- SAG Infotech" sqref="AG3:AH3" xr:uid="{00000000-0002-0000-0000-000006000000}"/>
    <dataValidation allowBlank="1" showInputMessage="1" showErrorMessage="1" promptTitle="Employee Name" prompt="Enter Employee Name_x000a__x000a_- SAG Infotech" sqref="AC3" xr:uid="{00000000-0002-0000-0000-000007000000}"/>
    <dataValidation allowBlank="1" showInputMessage="1" showErrorMessage="1" promptTitle="Employee PAN" prompt="Enter Valid PAN of 10 Digit._x000a__x000a_- SAG Infotech" sqref="AB3" xr:uid="{00000000-0002-0000-0000-000008000000}"/>
    <dataValidation allowBlank="1" showInputMessage="1" showErrorMessage="1" promptTitle="Amount" prompt="DO NOT enter comma(,) _x000a_Only two digits after decimal_x000a_Do not use Currency symbol_x000a__x000a_e.g. 10000.20_x000a_       34000.00_x000a__x000a_- SAG Infotech" sqref="BO3 AI3:AT3 BE3 BG3 BK3 BI3 CG3:CO3 CH4:CP4 CE3 CF4 BM3 BQ3 BV3 CB3:CC3 BY3 BS3 BM4:CD4 CQ3 CR4 AV3:BC3" xr:uid="{00000000-0002-0000-0000-000009000000}"/>
    <dataValidation allowBlank="1" showErrorMessage="1" sqref="AM5 DK5:DR5 DB5:DI5 CU5:CZ5 CF5:CR5 CT3:DQ3 CU4:DR4 AO5:CD5" xr:uid="{00000000-0002-0000-0000-00000A000000}"/>
    <dataValidation allowBlank="1" showInputMessage="1" showErrorMessage="1" promptTitle="Manually Edit Rebate u/s 87A" prompt="No or Yes" sqref="CG4 CF3" xr:uid="{00000000-0002-0000-0000-00000B000000}"/>
    <dataValidation allowBlank="1" showInputMessage="1" showErrorMessage="1" promptTitle="Manually Edit Tax" prompt="No or Yes" sqref="CE4 CD3" xr:uid="{00000000-0002-0000-0000-00000C000000}"/>
    <dataValidation allowBlank="1" showInputMessage="1" showErrorMessage="1" promptTitle="Total TDS" prompt="Fill Manually for A.Y. &lt;= 2013-14_x000a__x000a_DO NOT enter comma(,) _x000a_Only two digits after decimal_x000a_Do not use Currency symbol_x000a__x000a_e.g. 10000.20_x000a_       34000.00_x000a__x000a_- SAG Infotech" sqref="CQ4 CP3" xr:uid="{00000000-0002-0000-0000-00000D000000}"/>
    <dataValidation allowBlank="1" showInputMessage="1" showErrorMessage="1" prompt="No or Yes" sqref="CT4 CS3" xr:uid="{00000000-0002-0000-0000-00000E000000}"/>
    <dataValidation allowBlank="1" showInputMessage="1" showErrorMessage="1" promptTitle="Tax deducted at Higher Rate" prompt="No or Yes" sqref="CS4 CR3" xr:uid="{00000000-0002-0000-0000-00000F00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2023-06-17T09:38:28Z</dcterms:modified>
</cp:coreProperties>
</file>