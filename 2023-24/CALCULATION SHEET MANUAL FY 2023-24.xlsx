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dir-pc\d\RETURNS\ANIS\WORKINGS\CALCULATION SHEETS\2023-24\"/>
    </mc:Choice>
  </mc:AlternateContent>
  <xr:revisionPtr revIDLastSave="0" documentId="13_ncr:1_{B96B6870-A259-411F-B0CE-F18EF88B710B}" xr6:coauthVersionLast="47" xr6:coauthVersionMax="47" xr10:uidLastSave="{00000000-0000-0000-0000-000000000000}"/>
  <bookViews>
    <workbookView xWindow="-120" yWindow="-120" windowWidth="20730" windowHeight="11160" xr2:uid="{C97B3372-105A-47E1-A0E2-242437B8DBE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2" l="1"/>
  <c r="Q23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E5" i="2"/>
  <c r="D5" i="2"/>
  <c r="L6" i="2"/>
  <c r="L7" i="2"/>
  <c r="L8" i="2"/>
  <c r="L9" i="2"/>
  <c r="L10" i="2"/>
  <c r="L11" i="2"/>
  <c r="L12" i="2"/>
  <c r="L13" i="2"/>
  <c r="L14" i="2"/>
  <c r="L15" i="2"/>
  <c r="L16" i="2"/>
  <c r="L5" i="2"/>
  <c r="H6" i="2"/>
  <c r="H7" i="2"/>
  <c r="H8" i="2"/>
  <c r="H9" i="2"/>
  <c r="H10" i="2"/>
  <c r="H11" i="2"/>
  <c r="H12" i="2"/>
  <c r="H13" i="2"/>
  <c r="H14" i="2"/>
  <c r="H15" i="2"/>
  <c r="H16" i="2"/>
  <c r="H5" i="2"/>
  <c r="H20" i="2" s="1"/>
  <c r="C11" i="2"/>
  <c r="C12" i="2" s="1"/>
  <c r="C13" i="2" s="1"/>
  <c r="C14" i="2" s="1"/>
  <c r="C15" i="2" s="1"/>
  <c r="C16" i="2" s="1"/>
  <c r="C10" i="2"/>
  <c r="C8" i="2"/>
  <c r="C7" i="2"/>
  <c r="C6" i="2"/>
  <c r="J19" i="2"/>
  <c r="O20" i="2"/>
  <c r="G28" i="2" s="1"/>
  <c r="Q29" i="2" l="1"/>
  <c r="Q26" i="2"/>
  <c r="Q27" i="2"/>
  <c r="Q33" i="2"/>
  <c r="Q30" i="2"/>
  <c r="Q28" i="2"/>
  <c r="D31" i="2"/>
  <c r="L20" i="2"/>
  <c r="D29" i="2"/>
  <c r="Q31" i="2" l="1"/>
  <c r="Q19" i="2"/>
  <c r="Q32" i="2" l="1"/>
  <c r="Q34" i="2" s="1"/>
  <c r="Q17" i="2"/>
  <c r="J18" i="2"/>
  <c r="Q18" i="2" s="1"/>
  <c r="J11" i="2"/>
  <c r="Q11" i="2" s="1"/>
  <c r="R20" i="2"/>
  <c r="L39" i="2" s="1"/>
  <c r="P20" i="2"/>
  <c r="N20" i="2"/>
  <c r="M20" i="2"/>
  <c r="G25" i="2" s="1"/>
  <c r="K20" i="2"/>
  <c r="D27" i="2" s="1"/>
  <c r="I20" i="2"/>
  <c r="G20" i="2"/>
  <c r="D26" i="2" s="1"/>
  <c r="C20" i="2"/>
  <c r="Q35" i="2" l="1"/>
  <c r="Q36" i="2" s="1"/>
  <c r="G39" i="2"/>
  <c r="G38" i="2"/>
  <c r="G24" i="2" s="1"/>
  <c r="G34" i="2" s="1"/>
  <c r="G35" i="2" s="1"/>
  <c r="F20" i="2"/>
  <c r="J15" i="2"/>
  <c r="Q15" i="2" s="1"/>
  <c r="J10" i="2"/>
  <c r="Q10" i="2" s="1"/>
  <c r="J13" i="2"/>
  <c r="Q13" i="2" s="1"/>
  <c r="J16" i="2"/>
  <c r="Q16" i="2" s="1"/>
  <c r="J14" i="2"/>
  <c r="Q14" i="2" s="1"/>
  <c r="J12" i="2"/>
  <c r="Q12" i="2" s="1"/>
  <c r="J9" i="2"/>
  <c r="Q9" i="2" s="1"/>
  <c r="J6" i="2"/>
  <c r="J7" i="2"/>
  <c r="J8" i="2"/>
  <c r="Q8" i="2" s="1"/>
  <c r="J5" i="2"/>
  <c r="Q5" i="2" s="1"/>
  <c r="D20" i="2"/>
  <c r="C40" i="2" s="1"/>
  <c r="D42" i="2" s="1"/>
  <c r="D33" i="2"/>
  <c r="Q6" i="2" l="1"/>
  <c r="J20" i="2"/>
  <c r="D23" i="2" s="1"/>
  <c r="D39" i="2"/>
  <c r="G45" i="2"/>
  <c r="E20" i="2"/>
  <c r="D38" i="2" s="1"/>
  <c r="Q7" i="2"/>
  <c r="Q20" i="2" l="1"/>
  <c r="L23" i="2"/>
  <c r="D34" i="2"/>
  <c r="L26" i="2" l="1"/>
  <c r="G46" i="2"/>
  <c r="L28" i="2"/>
  <c r="L27" i="2"/>
  <c r="L31" i="2" l="1"/>
  <c r="L32" i="2" l="1"/>
  <c r="L33" i="2" s="1"/>
  <c r="L34" i="2" l="1"/>
  <c r="L35" i="2" l="1"/>
  <c r="L37" i="2" s="1"/>
  <c r="L4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Anis</author>
  </authors>
  <commentList>
    <comment ref="F42" authorId="0" shapeId="0" xr:uid="{07676627-758D-4164-BF50-62E2B35EA1BA}">
      <text>
        <r>
          <rPr>
            <b/>
            <sz val="9"/>
            <color indexed="81"/>
            <rFont val="Tahoma"/>
            <family val="2"/>
          </rPr>
          <t>Anis:</t>
        </r>
        <r>
          <rPr>
            <sz val="9"/>
            <color indexed="81"/>
            <rFont val="Tahoma"/>
            <family val="2"/>
          </rPr>
          <t xml:space="preserve">
FORM 10I REQUIRED FOR CLAIMING DEDUCTION U/S 80DD</t>
        </r>
      </text>
    </comment>
  </commentList>
</comments>
</file>

<file path=xl/sharedStrings.xml><?xml version="1.0" encoding="utf-8"?>
<sst xmlns="http://schemas.openxmlformats.org/spreadsheetml/2006/main" count="98" uniqueCount="88">
  <si>
    <t>M</t>
  </si>
  <si>
    <t>SR.</t>
  </si>
  <si>
    <t>MONTH</t>
  </si>
  <si>
    <t>BASIC</t>
  </si>
  <si>
    <t>DA</t>
  </si>
  <si>
    <t>H. R. A.</t>
  </si>
  <si>
    <t>TA/SDA/CLA/RA/ETC</t>
  </si>
  <si>
    <t>WA</t>
  </si>
  <si>
    <t>DCPS Employer</t>
  </si>
  <si>
    <t>Basic Arr. / 7th Pay DCPS/NPS Arr</t>
  </si>
  <si>
    <t>Total Emolument</t>
  </si>
  <si>
    <t xml:space="preserve">PT </t>
  </si>
  <si>
    <t>GPF/DCPS Employee</t>
  </si>
  <si>
    <t>GIS</t>
  </si>
  <si>
    <t>LIC</t>
  </si>
  <si>
    <t>OTHER</t>
  </si>
  <si>
    <t>NET</t>
  </si>
  <si>
    <t>I. TAX</t>
  </si>
  <si>
    <t>SUPP</t>
  </si>
  <si>
    <t>SUPP1</t>
  </si>
  <si>
    <t>TOTAL</t>
  </si>
  <si>
    <t>GN</t>
  </si>
  <si>
    <t xml:space="preserve">GROSS SALARY </t>
  </si>
  <si>
    <t>SAVINGS U/S. 80C</t>
  </si>
  <si>
    <t>Taxable Income</t>
  </si>
  <si>
    <t>LESS :</t>
  </si>
  <si>
    <t>STD. DED.</t>
  </si>
  <si>
    <t>L.I.C. [Salary]</t>
  </si>
  <si>
    <t>Professional Tax</t>
  </si>
  <si>
    <t>Tax on Total Income</t>
  </si>
  <si>
    <t>Other Allowance</t>
  </si>
  <si>
    <t>Housing Loan Principal</t>
  </si>
  <si>
    <t>H. R. A.  Exempt</t>
  </si>
  <si>
    <t>Educational Fees</t>
  </si>
  <si>
    <t>(-) : Rebate 87</t>
  </si>
  <si>
    <t>Tax on Total Inc.</t>
  </si>
  <si>
    <t>PLI</t>
  </si>
  <si>
    <t>(+) 4% Edu.Cess</t>
  </si>
  <si>
    <t>Sukanya Yojna</t>
  </si>
  <si>
    <t>Tax Payable</t>
  </si>
  <si>
    <t>PPF</t>
  </si>
  <si>
    <t>(-) Already paid</t>
  </si>
  <si>
    <t>(-) Relief 89</t>
  </si>
  <si>
    <t>Total Savings</t>
  </si>
  <si>
    <t>HRA CALCULATION</t>
  </si>
  <si>
    <t>Total Tax Payable</t>
  </si>
  <si>
    <t>HRA RECEIVED</t>
  </si>
  <si>
    <t>SAVINGS CHAPTER VIA</t>
  </si>
  <si>
    <t>BASIC + DA 40 %</t>
  </si>
  <si>
    <t>80CCD (1B)</t>
  </si>
  <si>
    <t>BASIC +DA 10 %</t>
  </si>
  <si>
    <t>RENT PAID</t>
  </si>
  <si>
    <t>80G /( C. M. Fund)</t>
  </si>
  <si>
    <t>BASIC +DA 10 %  - RENT PAID</t>
  </si>
  <si>
    <t>80D - Mediclaim Policy</t>
  </si>
  <si>
    <t>80U - Handicapped</t>
  </si>
  <si>
    <t>80E - Edu. Loan Intrest</t>
  </si>
  <si>
    <t>Total Tax On Income</t>
  </si>
  <si>
    <t>(-) : Rebate u/s 87</t>
  </si>
  <si>
    <t>Tax After Rebate u/s 87</t>
  </si>
  <si>
    <t>OLD</t>
  </si>
  <si>
    <t>PAN</t>
  </si>
  <si>
    <t>NPS Employer 80CCD(2)</t>
  </si>
  <si>
    <t>NIL</t>
  </si>
  <si>
    <t>5 Lacs to 10 Lacs</t>
  </si>
  <si>
    <t>Above 10 Lacs</t>
  </si>
  <si>
    <t>Eligible Savings - B</t>
  </si>
  <si>
    <t>Total Deductions-A</t>
  </si>
  <si>
    <t>BALANCE</t>
  </si>
  <si>
    <t>Eligible Savings - C</t>
  </si>
  <si>
    <t>T.A. (Handicap)</t>
  </si>
  <si>
    <t>Upto 3.00 Lacs</t>
  </si>
  <si>
    <t>3 Lacs to 6  Lacs</t>
  </si>
  <si>
    <t>6 Lacs to 9  Lacs</t>
  </si>
  <si>
    <t>9 Lacs to 12  Lacs</t>
  </si>
  <si>
    <t>12 Lacs to 15  Lacs</t>
  </si>
  <si>
    <t>Above 15 Lacs</t>
  </si>
  <si>
    <t>TAX AS PER OLD TAX REGIME :</t>
  </si>
  <si>
    <t>TAX AS PER NEW TAX REGIME :</t>
  </si>
  <si>
    <t>Life Insurance Premium</t>
  </si>
  <si>
    <t>Mutual Fund (ELSS)</t>
  </si>
  <si>
    <t>80DD - Specified Disease</t>
  </si>
  <si>
    <t xml:space="preserve">BENEFICIAL TAX REGIME : </t>
  </si>
  <si>
    <t>MED BILL</t>
  </si>
  <si>
    <t>Upto 2.5 Lacs</t>
  </si>
  <si>
    <t>2.5 Lacs to 5  Lacs</t>
  </si>
  <si>
    <t>HBA INTEREST</t>
  </si>
  <si>
    <t>Marginal 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</si>
</sst>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3" x14ac:knownFonts="1">
    <font>
      <sz val="11"/>
      <color theme="1"/>
      <name val="Calibri"/>
      <family val="2"/>
      <scheme val="minor"/>
    </font>
    <font>
      <b/>
      <sz val="9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1"/>
    </font>
    <font>
      <sz val="8"/>
      <name val="Bookman Old Style"/>
      <family val="1"/>
    </font>
    <font>
      <sz val="9"/>
      <color theme="0"/>
      <name val="Bookman Old Style"/>
      <family val="1"/>
    </font>
    <font>
      <b/>
      <u/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6" xfId="0" applyBorder="1"/>
    <xf numFmtId="1" fontId="3" fillId="0" borderId="6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11" xfId="0" applyFont="1" applyBorder="1" applyAlignment="1">
      <alignment vertical="center"/>
    </xf>
    <xf numFmtId="0" fontId="0" fillId="0" borderId="12" xfId="0" applyBorder="1"/>
    <xf numFmtId="0" fontId="2" fillId="0" borderId="10" xfId="0" applyFont="1" applyBorder="1" applyAlignment="1">
      <alignment vertical="center"/>
    </xf>
    <xf numFmtId="1" fontId="2" fillId="0" borderId="8" xfId="0" applyNumberFormat="1" applyFont="1" applyBorder="1" applyAlignment="1">
      <alignment vertical="center"/>
    </xf>
    <xf numFmtId="9" fontId="3" fillId="0" borderId="0" xfId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0" fillId="0" borderId="8" xfId="0" applyBorder="1"/>
    <xf numFmtId="0" fontId="3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10" xfId="0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14" xfId="0" applyBorder="1"/>
    <xf numFmtId="1" fontId="2" fillId="0" borderId="10" xfId="0" applyNumberFormat="1" applyFont="1" applyBorder="1" applyAlignment="1">
      <alignment vertical="center"/>
    </xf>
    <xf numFmtId="0" fontId="0" fillId="0" borderId="15" xfId="0" applyBorder="1"/>
    <xf numFmtId="1" fontId="7" fillId="0" borderId="4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504E-AC77-4908-ABF4-FB6973851FCE}">
  <dimension ref="A1:S46"/>
  <sheetViews>
    <sheetView tabSelected="1" topLeftCell="A22" zoomScaleNormal="100" workbookViewId="0">
      <selection activeCell="F28" sqref="F28"/>
    </sheetView>
  </sheetViews>
  <sheetFormatPr defaultRowHeight="15" x14ac:dyDescent="0.25"/>
  <cols>
    <col min="6" max="6" width="23.42578125" bestFit="1" customWidth="1"/>
    <col min="7" max="7" width="8.85546875" customWidth="1"/>
  </cols>
  <sheetData>
    <row r="1" spans="1:18" x14ac:dyDescent="0.25">
      <c r="A1" s="1">
        <v>0</v>
      </c>
      <c r="B1" s="2"/>
      <c r="C1" s="3"/>
      <c r="D1" s="4"/>
      <c r="E1" s="2"/>
      <c r="F1" s="2"/>
      <c r="G1" s="4"/>
      <c r="H1" s="4"/>
      <c r="I1" s="5" t="s">
        <v>60</v>
      </c>
      <c r="J1" s="4"/>
      <c r="K1" s="4"/>
      <c r="L1" s="4"/>
      <c r="M1" s="4"/>
      <c r="N1" s="2"/>
      <c r="O1" s="2"/>
      <c r="P1" s="2"/>
      <c r="Q1" s="2"/>
      <c r="R1" s="2"/>
    </row>
    <row r="2" spans="1:18" x14ac:dyDescent="0.25">
      <c r="A2" s="2"/>
      <c r="C2" s="3"/>
      <c r="D2" s="4"/>
      <c r="E2" s="4"/>
      <c r="F2" s="4"/>
      <c r="G2" s="4" t="s">
        <v>61</v>
      </c>
      <c r="H2" s="4"/>
      <c r="I2" s="4"/>
      <c r="J2" s="4"/>
      <c r="K2" s="4"/>
      <c r="L2" s="4"/>
      <c r="M2" s="4"/>
      <c r="N2" s="4"/>
      <c r="O2" s="6"/>
      <c r="P2" s="6"/>
      <c r="Q2" s="6"/>
      <c r="R2" s="6"/>
    </row>
    <row r="3" spans="1:18" x14ac:dyDescent="0.25">
      <c r="A3" s="6"/>
      <c r="B3" s="2"/>
      <c r="C3" s="3"/>
      <c r="D3" s="7"/>
      <c r="E3" s="7"/>
      <c r="F3" s="7"/>
      <c r="G3" s="7"/>
      <c r="H3" s="7"/>
      <c r="I3" s="7"/>
      <c r="J3" s="7"/>
      <c r="K3" s="7"/>
      <c r="L3" s="7"/>
      <c r="M3" s="7"/>
      <c r="N3" s="8" t="s">
        <v>0</v>
      </c>
      <c r="O3" s="6"/>
      <c r="P3" s="6"/>
      <c r="Q3" s="6"/>
      <c r="R3" s="6"/>
    </row>
    <row r="4" spans="1:18" ht="63.75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1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86</v>
      </c>
      <c r="P4" s="10" t="s">
        <v>15</v>
      </c>
      <c r="Q4" s="10" t="s">
        <v>16</v>
      </c>
      <c r="R4" s="11" t="s">
        <v>17</v>
      </c>
    </row>
    <row r="5" spans="1:18" x14ac:dyDescent="0.25">
      <c r="A5" s="12">
        <v>1</v>
      </c>
      <c r="B5" s="13">
        <v>44986</v>
      </c>
      <c r="C5" s="14">
        <v>0</v>
      </c>
      <c r="D5" s="14">
        <f>+ROUND(C5*0.38,0)</f>
        <v>0</v>
      </c>
      <c r="E5" s="14">
        <f>+ROUND(C5*0.18,0)</f>
        <v>0</v>
      </c>
      <c r="F5" s="14">
        <v>0</v>
      </c>
      <c r="G5" s="14">
        <v>0</v>
      </c>
      <c r="H5" s="14">
        <f>+ROUND(SUM(C5:D5)*0.14,0)</f>
        <v>0</v>
      </c>
      <c r="I5" s="14">
        <v>0</v>
      </c>
      <c r="J5" s="14">
        <f>SUM(C5:I5)</f>
        <v>0</v>
      </c>
      <c r="K5" s="14">
        <v>200</v>
      </c>
      <c r="L5" s="14">
        <f>+ROUND(SUM(C5:D5)*0.1,0)</f>
        <v>0</v>
      </c>
      <c r="M5" s="14">
        <v>0</v>
      </c>
      <c r="N5" s="14">
        <v>0</v>
      </c>
      <c r="O5" s="14">
        <v>0</v>
      </c>
      <c r="P5" s="14">
        <v>0</v>
      </c>
      <c r="Q5" s="15">
        <f>+J5-K5-L5-M5-R5-N5-O5-P5</f>
        <v>-200</v>
      </c>
      <c r="R5" s="15">
        <v>0</v>
      </c>
    </row>
    <row r="6" spans="1:18" x14ac:dyDescent="0.25">
      <c r="A6" s="12">
        <v>2</v>
      </c>
      <c r="B6" s="13">
        <v>45017</v>
      </c>
      <c r="C6" s="14">
        <f>+C5</f>
        <v>0</v>
      </c>
      <c r="D6" s="14">
        <f t="shared" ref="D6:D16" si="0">+ROUND(C6*0.38,0)</f>
        <v>0</v>
      </c>
      <c r="E6" s="14">
        <f t="shared" ref="E6:E16" si="1">+ROUND(C6*0.18,0)</f>
        <v>0</v>
      </c>
      <c r="F6" s="14">
        <v>0</v>
      </c>
      <c r="G6" s="14">
        <v>0</v>
      </c>
      <c r="H6" s="14">
        <f t="shared" ref="H6:H16" si="2">+ROUND(SUM(C6:D6)*0.14,0)</f>
        <v>0</v>
      </c>
      <c r="I6" s="14">
        <v>0</v>
      </c>
      <c r="J6" s="14">
        <f t="shared" ref="J6:J19" si="3">SUM(C6:I6)</f>
        <v>0</v>
      </c>
      <c r="K6" s="14">
        <v>0</v>
      </c>
      <c r="L6" s="14">
        <f t="shared" ref="L6:L16" si="4">+ROUND(SUM(C6:D6)*0.1,0)</f>
        <v>0</v>
      </c>
      <c r="M6" s="14">
        <v>0</v>
      </c>
      <c r="N6" s="14">
        <v>0</v>
      </c>
      <c r="O6" s="14">
        <v>0</v>
      </c>
      <c r="P6" s="14">
        <v>0</v>
      </c>
      <c r="Q6" s="15">
        <f t="shared" ref="Q6:Q18" si="5">+J6-K6-L6-M6-R6-N6-O6-P6</f>
        <v>0</v>
      </c>
      <c r="R6" s="15">
        <v>0</v>
      </c>
    </row>
    <row r="7" spans="1:18" x14ac:dyDescent="0.25">
      <c r="A7" s="12">
        <v>3</v>
      </c>
      <c r="B7" s="13">
        <v>45047</v>
      </c>
      <c r="C7" s="14">
        <f>+C6</f>
        <v>0</v>
      </c>
      <c r="D7" s="14">
        <f t="shared" si="0"/>
        <v>0</v>
      </c>
      <c r="E7" s="14">
        <f t="shared" si="1"/>
        <v>0</v>
      </c>
      <c r="F7" s="14">
        <v>0</v>
      </c>
      <c r="G7" s="14">
        <v>0</v>
      </c>
      <c r="H7" s="14">
        <f t="shared" si="2"/>
        <v>0</v>
      </c>
      <c r="I7" s="14">
        <v>0</v>
      </c>
      <c r="J7" s="14">
        <f t="shared" si="3"/>
        <v>0</v>
      </c>
      <c r="K7" s="14">
        <v>0</v>
      </c>
      <c r="L7" s="14">
        <f t="shared" si="4"/>
        <v>0</v>
      </c>
      <c r="M7" s="14">
        <v>0</v>
      </c>
      <c r="N7" s="14">
        <v>0</v>
      </c>
      <c r="O7" s="14">
        <v>0</v>
      </c>
      <c r="P7" s="14">
        <v>0</v>
      </c>
      <c r="Q7" s="15">
        <f t="shared" si="5"/>
        <v>0</v>
      </c>
      <c r="R7" s="15">
        <v>0</v>
      </c>
    </row>
    <row r="8" spans="1:18" x14ac:dyDescent="0.25">
      <c r="A8" s="12">
        <v>4</v>
      </c>
      <c r="B8" s="13">
        <v>45078</v>
      </c>
      <c r="C8" s="14">
        <f>+C7</f>
        <v>0</v>
      </c>
      <c r="D8" s="14">
        <f t="shared" si="0"/>
        <v>0</v>
      </c>
      <c r="E8" s="14">
        <f t="shared" si="1"/>
        <v>0</v>
      </c>
      <c r="F8" s="14">
        <v>0</v>
      </c>
      <c r="G8" s="14">
        <v>0</v>
      </c>
      <c r="H8" s="14">
        <f t="shared" si="2"/>
        <v>0</v>
      </c>
      <c r="I8" s="14">
        <v>0</v>
      </c>
      <c r="J8" s="14">
        <f t="shared" si="3"/>
        <v>0</v>
      </c>
      <c r="K8" s="14">
        <v>0</v>
      </c>
      <c r="L8" s="14">
        <f t="shared" si="4"/>
        <v>0</v>
      </c>
      <c r="M8" s="14">
        <v>0</v>
      </c>
      <c r="N8" s="14">
        <v>0</v>
      </c>
      <c r="O8" s="14">
        <v>0</v>
      </c>
      <c r="P8" s="14">
        <v>0</v>
      </c>
      <c r="Q8" s="15">
        <f t="shared" si="5"/>
        <v>0</v>
      </c>
      <c r="R8" s="15">
        <v>0</v>
      </c>
    </row>
    <row r="9" spans="1:18" x14ac:dyDescent="0.25">
      <c r="A9" s="12">
        <v>5</v>
      </c>
      <c r="B9" s="13">
        <v>45108</v>
      </c>
      <c r="C9" s="14">
        <v>0</v>
      </c>
      <c r="D9" s="14">
        <f t="shared" si="0"/>
        <v>0</v>
      </c>
      <c r="E9" s="14">
        <f t="shared" si="1"/>
        <v>0</v>
      </c>
      <c r="F9" s="14">
        <v>0</v>
      </c>
      <c r="G9" s="14">
        <v>0</v>
      </c>
      <c r="H9" s="14">
        <f t="shared" si="2"/>
        <v>0</v>
      </c>
      <c r="I9" s="14">
        <v>0</v>
      </c>
      <c r="J9" s="14">
        <f t="shared" si="3"/>
        <v>0</v>
      </c>
      <c r="K9" s="14">
        <v>0</v>
      </c>
      <c r="L9" s="14">
        <f t="shared" si="4"/>
        <v>0</v>
      </c>
      <c r="M9" s="14">
        <v>0</v>
      </c>
      <c r="N9" s="14">
        <v>0</v>
      </c>
      <c r="O9" s="14">
        <v>0</v>
      </c>
      <c r="P9" s="14">
        <v>0</v>
      </c>
      <c r="Q9" s="15">
        <f t="shared" si="5"/>
        <v>0</v>
      </c>
      <c r="R9" s="15">
        <v>0</v>
      </c>
    </row>
    <row r="10" spans="1:18" x14ac:dyDescent="0.25">
      <c r="A10" s="12">
        <v>6</v>
      </c>
      <c r="B10" s="13">
        <v>45139</v>
      </c>
      <c r="C10" s="14">
        <f>+C9</f>
        <v>0</v>
      </c>
      <c r="D10" s="14">
        <f t="shared" si="0"/>
        <v>0</v>
      </c>
      <c r="E10" s="14">
        <f t="shared" si="1"/>
        <v>0</v>
      </c>
      <c r="F10" s="14">
        <v>0</v>
      </c>
      <c r="G10" s="14">
        <v>0</v>
      </c>
      <c r="H10" s="14">
        <f t="shared" si="2"/>
        <v>0</v>
      </c>
      <c r="I10" s="14">
        <v>0</v>
      </c>
      <c r="J10" s="14">
        <f t="shared" si="3"/>
        <v>0</v>
      </c>
      <c r="K10" s="14">
        <v>0</v>
      </c>
      <c r="L10" s="14">
        <f t="shared" si="4"/>
        <v>0</v>
      </c>
      <c r="M10" s="14">
        <v>0</v>
      </c>
      <c r="N10" s="14">
        <v>0</v>
      </c>
      <c r="O10" s="14">
        <v>0</v>
      </c>
      <c r="P10" s="14">
        <v>0</v>
      </c>
      <c r="Q10" s="15">
        <f t="shared" si="5"/>
        <v>0</v>
      </c>
      <c r="R10" s="15">
        <v>0</v>
      </c>
    </row>
    <row r="11" spans="1:18" x14ac:dyDescent="0.25">
      <c r="A11" s="12">
        <v>7</v>
      </c>
      <c r="B11" s="13">
        <v>45170</v>
      </c>
      <c r="C11" s="14">
        <f t="shared" ref="C11:C16" si="6">+C10</f>
        <v>0</v>
      </c>
      <c r="D11" s="14">
        <f t="shared" si="0"/>
        <v>0</v>
      </c>
      <c r="E11" s="14">
        <f t="shared" si="1"/>
        <v>0</v>
      </c>
      <c r="F11" s="14">
        <v>0</v>
      </c>
      <c r="G11" s="14">
        <v>0</v>
      </c>
      <c r="H11" s="14">
        <f t="shared" si="2"/>
        <v>0</v>
      </c>
      <c r="I11" s="14">
        <v>0</v>
      </c>
      <c r="J11" s="14">
        <f t="shared" si="3"/>
        <v>0</v>
      </c>
      <c r="K11" s="14">
        <v>0</v>
      </c>
      <c r="L11" s="14">
        <f t="shared" si="4"/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5"/>
        <v>0</v>
      </c>
      <c r="R11" s="15">
        <v>0</v>
      </c>
    </row>
    <row r="12" spans="1:18" x14ac:dyDescent="0.25">
      <c r="A12" s="12">
        <v>8</v>
      </c>
      <c r="B12" s="13">
        <v>45200</v>
      </c>
      <c r="C12" s="14">
        <f t="shared" si="6"/>
        <v>0</v>
      </c>
      <c r="D12" s="14">
        <f t="shared" si="0"/>
        <v>0</v>
      </c>
      <c r="E12" s="14">
        <f t="shared" si="1"/>
        <v>0</v>
      </c>
      <c r="F12" s="14">
        <v>0</v>
      </c>
      <c r="G12" s="14">
        <v>0</v>
      </c>
      <c r="H12" s="14">
        <f t="shared" si="2"/>
        <v>0</v>
      </c>
      <c r="I12" s="14">
        <v>0</v>
      </c>
      <c r="J12" s="14">
        <f t="shared" si="3"/>
        <v>0</v>
      </c>
      <c r="K12" s="14">
        <v>0</v>
      </c>
      <c r="L12" s="14">
        <f t="shared" si="4"/>
        <v>0</v>
      </c>
      <c r="M12" s="14">
        <v>0</v>
      </c>
      <c r="N12" s="14">
        <v>0</v>
      </c>
      <c r="O12" s="14">
        <v>0</v>
      </c>
      <c r="P12" s="14">
        <v>0</v>
      </c>
      <c r="Q12" s="15">
        <f t="shared" si="5"/>
        <v>0</v>
      </c>
      <c r="R12" s="15">
        <v>0</v>
      </c>
    </row>
    <row r="13" spans="1:18" x14ac:dyDescent="0.25">
      <c r="A13" s="12">
        <v>9</v>
      </c>
      <c r="B13" s="13">
        <v>45231</v>
      </c>
      <c r="C13" s="14">
        <f t="shared" si="6"/>
        <v>0</v>
      </c>
      <c r="D13" s="14">
        <f t="shared" si="0"/>
        <v>0</v>
      </c>
      <c r="E13" s="14">
        <f t="shared" si="1"/>
        <v>0</v>
      </c>
      <c r="F13" s="14">
        <v>0</v>
      </c>
      <c r="G13" s="14">
        <v>0</v>
      </c>
      <c r="H13" s="14">
        <f t="shared" si="2"/>
        <v>0</v>
      </c>
      <c r="I13" s="14">
        <v>0</v>
      </c>
      <c r="J13" s="14">
        <f t="shared" si="3"/>
        <v>0</v>
      </c>
      <c r="K13" s="14">
        <v>0</v>
      </c>
      <c r="L13" s="14">
        <f t="shared" si="4"/>
        <v>0</v>
      </c>
      <c r="M13" s="14">
        <v>0</v>
      </c>
      <c r="N13" s="14">
        <v>0</v>
      </c>
      <c r="O13" s="14">
        <v>0</v>
      </c>
      <c r="P13" s="14">
        <v>0</v>
      </c>
      <c r="Q13" s="15">
        <f t="shared" si="5"/>
        <v>0</v>
      </c>
      <c r="R13" s="15">
        <v>0</v>
      </c>
    </row>
    <row r="14" spans="1:18" x14ac:dyDescent="0.25">
      <c r="A14" s="12">
        <v>10</v>
      </c>
      <c r="B14" s="13">
        <v>45261</v>
      </c>
      <c r="C14" s="14">
        <f t="shared" si="6"/>
        <v>0</v>
      </c>
      <c r="D14" s="14">
        <f t="shared" si="0"/>
        <v>0</v>
      </c>
      <c r="E14" s="14">
        <f t="shared" si="1"/>
        <v>0</v>
      </c>
      <c r="F14" s="14">
        <v>0</v>
      </c>
      <c r="G14" s="14">
        <v>0</v>
      </c>
      <c r="H14" s="14">
        <f t="shared" si="2"/>
        <v>0</v>
      </c>
      <c r="I14" s="14">
        <v>0</v>
      </c>
      <c r="J14" s="14">
        <f t="shared" si="3"/>
        <v>0</v>
      </c>
      <c r="K14" s="14">
        <v>0</v>
      </c>
      <c r="L14" s="14">
        <f t="shared" si="4"/>
        <v>0</v>
      </c>
      <c r="M14" s="14">
        <v>0</v>
      </c>
      <c r="N14" s="14">
        <v>0</v>
      </c>
      <c r="O14" s="14">
        <v>0</v>
      </c>
      <c r="P14" s="14">
        <v>0</v>
      </c>
      <c r="Q14" s="15">
        <f t="shared" si="5"/>
        <v>0</v>
      </c>
      <c r="R14" s="15">
        <v>0</v>
      </c>
    </row>
    <row r="15" spans="1:18" x14ac:dyDescent="0.25">
      <c r="A15" s="12">
        <v>11</v>
      </c>
      <c r="B15" s="13">
        <v>45292</v>
      </c>
      <c r="C15" s="14">
        <f t="shared" si="6"/>
        <v>0</v>
      </c>
      <c r="D15" s="14">
        <f t="shared" si="0"/>
        <v>0</v>
      </c>
      <c r="E15" s="14">
        <f t="shared" si="1"/>
        <v>0</v>
      </c>
      <c r="F15" s="14">
        <v>0</v>
      </c>
      <c r="G15" s="14">
        <v>0</v>
      </c>
      <c r="H15" s="14">
        <f t="shared" si="2"/>
        <v>0</v>
      </c>
      <c r="I15" s="14">
        <v>0</v>
      </c>
      <c r="J15" s="14">
        <f t="shared" si="3"/>
        <v>0</v>
      </c>
      <c r="K15" s="14">
        <v>0</v>
      </c>
      <c r="L15" s="14">
        <f t="shared" si="4"/>
        <v>0</v>
      </c>
      <c r="M15" s="14">
        <v>0</v>
      </c>
      <c r="N15" s="14">
        <v>0</v>
      </c>
      <c r="O15" s="14">
        <v>0</v>
      </c>
      <c r="P15" s="14">
        <v>0</v>
      </c>
      <c r="Q15" s="15">
        <f t="shared" si="5"/>
        <v>0</v>
      </c>
      <c r="R15" s="15">
        <v>0</v>
      </c>
    </row>
    <row r="16" spans="1:18" x14ac:dyDescent="0.25">
      <c r="A16" s="14">
        <v>12</v>
      </c>
      <c r="B16" s="13">
        <v>45323</v>
      </c>
      <c r="C16" s="14">
        <f t="shared" si="6"/>
        <v>0</v>
      </c>
      <c r="D16" s="14">
        <f t="shared" si="0"/>
        <v>0</v>
      </c>
      <c r="E16" s="14">
        <f t="shared" si="1"/>
        <v>0</v>
      </c>
      <c r="F16" s="14">
        <v>0</v>
      </c>
      <c r="G16" s="14">
        <v>0</v>
      </c>
      <c r="H16" s="14">
        <f t="shared" si="2"/>
        <v>0</v>
      </c>
      <c r="I16" s="14">
        <v>0</v>
      </c>
      <c r="J16" s="14">
        <f t="shared" si="3"/>
        <v>0</v>
      </c>
      <c r="K16" s="14">
        <v>0</v>
      </c>
      <c r="L16" s="14">
        <f t="shared" si="4"/>
        <v>0</v>
      </c>
      <c r="M16" s="14">
        <v>0</v>
      </c>
      <c r="N16" s="14">
        <v>0</v>
      </c>
      <c r="O16" s="14">
        <v>0</v>
      </c>
      <c r="P16" s="14">
        <v>0</v>
      </c>
      <c r="Q16" s="15">
        <f t="shared" si="5"/>
        <v>0</v>
      </c>
      <c r="R16" s="15">
        <v>0</v>
      </c>
    </row>
    <row r="17" spans="1:19" x14ac:dyDescent="0.25">
      <c r="A17" s="12">
        <v>13</v>
      </c>
      <c r="B17" s="16" t="s">
        <v>18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5">
        <f t="shared" si="5"/>
        <v>0</v>
      </c>
      <c r="R17" s="15">
        <v>0</v>
      </c>
    </row>
    <row r="18" spans="1:19" x14ac:dyDescent="0.25">
      <c r="A18" s="12">
        <v>14</v>
      </c>
      <c r="B18" s="16" t="s">
        <v>19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f t="shared" si="3"/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5">
        <f t="shared" si="5"/>
        <v>0</v>
      </c>
      <c r="R18" s="15">
        <v>0</v>
      </c>
    </row>
    <row r="19" spans="1:19" x14ac:dyDescent="0.25">
      <c r="A19" s="12">
        <v>15</v>
      </c>
      <c r="B19" s="13" t="s">
        <v>83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f t="shared" si="3"/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5">
        <f t="shared" ref="Q19" si="7">+J19-K19-L19-M19-R19-N19-O19-P19</f>
        <v>0</v>
      </c>
      <c r="R19" s="15">
        <v>0</v>
      </c>
    </row>
    <row r="20" spans="1:19" x14ac:dyDescent="0.25">
      <c r="A20" s="17"/>
      <c r="B20" s="18" t="s">
        <v>20</v>
      </c>
      <c r="C20" s="18">
        <f t="shared" ref="C20:G20" si="8">SUM(C5:C19)</f>
        <v>0</v>
      </c>
      <c r="D20" s="18">
        <f t="shared" si="8"/>
        <v>0</v>
      </c>
      <c r="E20" s="18">
        <f t="shared" si="8"/>
        <v>0</v>
      </c>
      <c r="F20" s="18">
        <f t="shared" si="8"/>
        <v>0</v>
      </c>
      <c r="G20" s="18">
        <f t="shared" si="8"/>
        <v>0</v>
      </c>
      <c r="H20" s="18">
        <f>SUM(H5:H19)</f>
        <v>0</v>
      </c>
      <c r="I20" s="18">
        <f t="shared" ref="I20:R20" si="9">SUM(I5:I19)</f>
        <v>0</v>
      </c>
      <c r="J20" s="18">
        <f t="shared" si="9"/>
        <v>0</v>
      </c>
      <c r="K20" s="18">
        <f t="shared" si="9"/>
        <v>200</v>
      </c>
      <c r="L20" s="18">
        <f t="shared" si="9"/>
        <v>0</v>
      </c>
      <c r="M20" s="18">
        <f t="shared" si="9"/>
        <v>0</v>
      </c>
      <c r="N20" s="18">
        <f t="shared" si="9"/>
        <v>0</v>
      </c>
      <c r="O20" s="18">
        <f t="shared" si="9"/>
        <v>0</v>
      </c>
      <c r="P20" s="18">
        <f t="shared" si="9"/>
        <v>0</v>
      </c>
      <c r="Q20" s="18">
        <f t="shared" si="9"/>
        <v>-200</v>
      </c>
      <c r="R20" s="18">
        <f t="shared" si="9"/>
        <v>0</v>
      </c>
    </row>
    <row r="21" spans="1:19" x14ac:dyDescent="0.25">
      <c r="A21" s="6"/>
      <c r="B21" s="19" t="s">
        <v>21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6"/>
      <c r="P21" s="6"/>
      <c r="Q21" s="6"/>
      <c r="R21" s="6"/>
    </row>
    <row r="22" spans="1:19" x14ac:dyDescent="0.25">
      <c r="A22" s="6"/>
      <c r="B22" s="2"/>
      <c r="C22" s="2"/>
      <c r="D22" s="2"/>
      <c r="E22" s="2"/>
      <c r="F22" s="2"/>
      <c r="G22" s="2"/>
      <c r="H22" s="2"/>
      <c r="I22" s="62" t="s">
        <v>77</v>
      </c>
      <c r="J22" s="63"/>
      <c r="K22" s="63"/>
      <c r="L22" s="63"/>
      <c r="M22" s="2"/>
      <c r="N22" s="62" t="s">
        <v>78</v>
      </c>
      <c r="O22" s="64"/>
      <c r="P22" s="64"/>
      <c r="Q22" s="64"/>
    </row>
    <row r="23" spans="1:19" x14ac:dyDescent="0.25">
      <c r="A23" s="6"/>
      <c r="B23" s="21" t="s">
        <v>22</v>
      </c>
      <c r="C23" s="6"/>
      <c r="D23" s="6">
        <f>+J20</f>
        <v>0</v>
      </c>
      <c r="E23" s="2"/>
      <c r="F23" s="21" t="s">
        <v>23</v>
      </c>
      <c r="G23" s="21"/>
      <c r="I23" s="37" t="s">
        <v>24</v>
      </c>
      <c r="J23" s="35"/>
      <c r="K23" s="39"/>
      <c r="L23" s="55">
        <f>+D23-D33-G35-G45</f>
        <v>-50200</v>
      </c>
      <c r="N23" s="37" t="s">
        <v>24</v>
      </c>
      <c r="O23" s="35"/>
      <c r="P23" s="38"/>
      <c r="Q23" s="55">
        <f>+D23-D25-G39</f>
        <v>-50000</v>
      </c>
      <c r="S23" s="6"/>
    </row>
    <row r="24" spans="1:19" x14ac:dyDescent="0.25">
      <c r="A24" s="6"/>
      <c r="B24" s="21" t="s">
        <v>25</v>
      </c>
      <c r="C24" s="6"/>
      <c r="D24" s="6"/>
      <c r="E24" s="2"/>
      <c r="F24" s="6" t="s">
        <v>12</v>
      </c>
      <c r="G24" s="6">
        <f>+IF(H20&gt;0,L20-G38,L20)</f>
        <v>0</v>
      </c>
      <c r="I24" s="34"/>
      <c r="J24" s="6"/>
      <c r="K24" s="24"/>
      <c r="L24" s="40"/>
      <c r="N24" s="31"/>
      <c r="O24" s="6"/>
      <c r="Q24" s="40">
        <v>0</v>
      </c>
      <c r="S24" s="6"/>
    </row>
    <row r="25" spans="1:19" x14ac:dyDescent="0.25">
      <c r="A25" s="6"/>
      <c r="B25" s="6" t="s">
        <v>26</v>
      </c>
      <c r="C25" s="6"/>
      <c r="D25" s="6">
        <v>50000</v>
      </c>
      <c r="E25" s="2"/>
      <c r="F25" s="6" t="s">
        <v>13</v>
      </c>
      <c r="G25" s="6">
        <f>+M20</f>
        <v>0</v>
      </c>
      <c r="I25" s="31" t="s">
        <v>84</v>
      </c>
      <c r="J25" s="6"/>
      <c r="K25" s="23" t="s">
        <v>63</v>
      </c>
      <c r="L25" s="40">
        <v>0</v>
      </c>
      <c r="N25" s="31" t="s">
        <v>71</v>
      </c>
      <c r="O25" s="6"/>
      <c r="P25" s="23" t="s">
        <v>63</v>
      </c>
      <c r="Q25" s="40">
        <v>0</v>
      </c>
      <c r="S25" s="6"/>
    </row>
    <row r="26" spans="1:19" x14ac:dyDescent="0.25">
      <c r="A26" s="6"/>
      <c r="B26" s="6" t="s">
        <v>7</v>
      </c>
      <c r="C26" s="6"/>
      <c r="D26" s="6">
        <f>+G20</f>
        <v>0</v>
      </c>
      <c r="E26" s="2"/>
      <c r="F26" s="6" t="s">
        <v>27</v>
      </c>
      <c r="G26" s="6">
        <v>0</v>
      </c>
      <c r="I26" s="31" t="s">
        <v>85</v>
      </c>
      <c r="J26" s="6"/>
      <c r="K26" s="53">
        <v>0.05</v>
      </c>
      <c r="L26" s="40">
        <f>+ROUND(IF(IF(L23&gt;500000,12500,(L23-250000)*5/100)&lt;0,0,IF(L23&gt;500000,12500,(L23-250000)*5/100)),0)</f>
        <v>0</v>
      </c>
      <c r="N26" s="31" t="s">
        <v>72</v>
      </c>
      <c r="O26" s="6"/>
      <c r="P26" s="53">
        <v>0.05</v>
      </c>
      <c r="Q26" s="40">
        <f>IF(IF(Q23&gt;=600000,15000,ROUND((Q23-300000)*5/100,0))&lt;0,0,IF(Q23&gt;=600000,15000,ROUND((Q23-300000)*5/100,0)))</f>
        <v>0</v>
      </c>
      <c r="S26" s="6"/>
    </row>
    <row r="27" spans="1:19" x14ac:dyDescent="0.25">
      <c r="A27" s="6"/>
      <c r="B27" s="25" t="s">
        <v>28</v>
      </c>
      <c r="C27" s="6"/>
      <c r="D27" s="6">
        <f>+K20</f>
        <v>200</v>
      </c>
      <c r="E27" s="6"/>
      <c r="F27" s="6" t="s">
        <v>79</v>
      </c>
      <c r="G27" s="6">
        <v>0</v>
      </c>
      <c r="I27" s="31" t="s">
        <v>64</v>
      </c>
      <c r="J27" s="6"/>
      <c r="K27" s="53">
        <v>0.2</v>
      </c>
      <c r="L27" s="40">
        <f>+ROUND(IF(IF(L23&gt;1000000,100000,(L23-500000)*20/100)&lt;0,0,IF(L23&gt;1000000,100000,(L23-500000)*20/100)),0)</f>
        <v>0</v>
      </c>
      <c r="N27" s="31" t="s">
        <v>73</v>
      </c>
      <c r="O27" s="6"/>
      <c r="P27" s="53">
        <v>0.1</v>
      </c>
      <c r="Q27" s="40">
        <f>IF(IF(Q23&gt;=900000,30000,ROUND((Q23-600000)*10/100,0))&lt;0,0,IF(Q23&gt;=900000,30000,ROUND((Q23-600000)*10/100,0)))</f>
        <v>0</v>
      </c>
      <c r="S27" s="6"/>
    </row>
    <row r="28" spans="1:19" x14ac:dyDescent="0.25">
      <c r="A28" s="6"/>
      <c r="B28" s="6" t="s">
        <v>70</v>
      </c>
      <c r="C28" s="6"/>
      <c r="D28" s="6">
        <v>0</v>
      </c>
      <c r="E28" s="6"/>
      <c r="F28" s="6" t="s">
        <v>31</v>
      </c>
      <c r="G28" s="6">
        <f>+IF(O4="HBA HOUSE",O20,0)</f>
        <v>0</v>
      </c>
      <c r="I28" s="31" t="s">
        <v>65</v>
      </c>
      <c r="J28" s="6"/>
      <c r="K28" s="53">
        <v>0.3</v>
      </c>
      <c r="L28" s="40">
        <f>+ROUND(IF(L23&gt;1000000,(L23-1000000)*30/100,0),0)</f>
        <v>0</v>
      </c>
      <c r="N28" s="31" t="s">
        <v>74</v>
      </c>
      <c r="O28" s="6"/>
      <c r="P28" s="53">
        <v>0.15</v>
      </c>
      <c r="Q28" s="40">
        <f>IF(IF(Q23&gt;=1200000,45000,ROUND((Q23-900000)*15/100,0))&lt;0,0,IF(Q23&gt;=1200000,45000,ROUND((Q23-900000)*15/100,0)))</f>
        <v>0</v>
      </c>
      <c r="S28" s="6"/>
    </row>
    <row r="29" spans="1:19" x14ac:dyDescent="0.25">
      <c r="A29" s="6"/>
      <c r="B29" s="25" t="s">
        <v>32</v>
      </c>
      <c r="C29" s="6"/>
      <c r="D29" s="24">
        <f>ROUND(IF(C41=0,0,MIN(D38:D42)),0)</f>
        <v>0</v>
      </c>
      <c r="E29" s="6"/>
      <c r="F29" s="25" t="s">
        <v>33</v>
      </c>
      <c r="G29" s="6">
        <v>0</v>
      </c>
      <c r="I29" s="33"/>
      <c r="L29" s="56"/>
      <c r="N29" s="31" t="s">
        <v>75</v>
      </c>
      <c r="O29" s="6"/>
      <c r="P29" s="53">
        <v>0.2</v>
      </c>
      <c r="Q29" s="40">
        <f>IF(IF(Q23&gt;=1500000,60000,ROUND((Q23-1200000)*20/100,0))&lt;0,0,IF(Q23&gt;=1500000,60000,ROUND((Q23-1200000)*20/100,0)))</f>
        <v>0</v>
      </c>
      <c r="S29" s="6"/>
    </row>
    <row r="30" spans="1:19" x14ac:dyDescent="0.25">
      <c r="A30" s="6"/>
      <c r="B30" s="6" t="s">
        <v>30</v>
      </c>
      <c r="C30" s="6"/>
      <c r="D30" s="6">
        <v>0</v>
      </c>
      <c r="E30" s="6"/>
      <c r="F30" s="6" t="s">
        <v>80</v>
      </c>
      <c r="G30" s="6">
        <v>0</v>
      </c>
      <c r="I30" s="33"/>
      <c r="L30" s="59"/>
      <c r="N30" s="31" t="s">
        <v>76</v>
      </c>
      <c r="O30" s="6"/>
      <c r="P30" s="53">
        <v>0.3</v>
      </c>
      <c r="Q30" s="51">
        <f>ROUND(IF(Q23&gt;1500000,(Q23-1500000)*30/100,0),0)</f>
        <v>0</v>
      </c>
      <c r="S30" s="6"/>
    </row>
    <row r="31" spans="1:19" x14ac:dyDescent="0.25">
      <c r="A31" s="6"/>
      <c r="B31" s="25" t="s">
        <v>86</v>
      </c>
      <c r="C31" s="6"/>
      <c r="D31" s="6">
        <f>+IF(O4=B31,O20,0)</f>
        <v>0</v>
      </c>
      <c r="E31" s="6"/>
      <c r="F31" s="6" t="s">
        <v>36</v>
      </c>
      <c r="G31" s="6">
        <v>0</v>
      </c>
      <c r="I31" s="36" t="s">
        <v>57</v>
      </c>
      <c r="J31" s="6"/>
      <c r="K31" s="6"/>
      <c r="L31" s="40">
        <f>+SUM(L25:L28)</f>
        <v>0</v>
      </c>
      <c r="N31" s="36" t="s">
        <v>29</v>
      </c>
      <c r="O31" s="6"/>
      <c r="Q31" s="52">
        <f>+SUM(Q25:Q30)</f>
        <v>0</v>
      </c>
      <c r="S31" s="6"/>
    </row>
    <row r="32" spans="1:19" x14ac:dyDescent="0.25">
      <c r="A32" s="6"/>
      <c r="B32" s="60"/>
      <c r="C32" s="61"/>
      <c r="D32" s="61"/>
      <c r="E32" s="6"/>
      <c r="F32" s="6" t="s">
        <v>38</v>
      </c>
      <c r="G32" s="6">
        <v>0</v>
      </c>
      <c r="I32" s="32" t="s">
        <v>58</v>
      </c>
      <c r="J32" s="6"/>
      <c r="K32" s="6"/>
      <c r="L32" s="42">
        <f>+IF(L23&gt;500000,0,L31)</f>
        <v>0</v>
      </c>
      <c r="N32" s="32" t="s">
        <v>34</v>
      </c>
      <c r="O32" s="2"/>
      <c r="Q32" s="40">
        <f>+IF(Q23&gt;700000,0,Q31)</f>
        <v>0</v>
      </c>
      <c r="S32" s="6"/>
    </row>
    <row r="33" spans="1:19" x14ac:dyDescent="0.25">
      <c r="A33" s="6"/>
      <c r="B33" s="26" t="s">
        <v>67</v>
      </c>
      <c r="C33" s="6"/>
      <c r="D33" s="6">
        <f>SUM(D25:D30)+IF(D31&gt;200000, 200000,D31 )</f>
        <v>50200</v>
      </c>
      <c r="E33" s="6"/>
      <c r="F33" s="6" t="s">
        <v>40</v>
      </c>
      <c r="G33" s="6">
        <v>0</v>
      </c>
      <c r="I33" s="36" t="s">
        <v>59</v>
      </c>
      <c r="J33" s="6"/>
      <c r="L33" s="40">
        <f>+L31-L32</f>
        <v>0</v>
      </c>
      <c r="N33" s="31" t="s">
        <v>87</v>
      </c>
      <c r="P33" s="67"/>
      <c r="Q33" s="56">
        <f>IF(Q23&gt;700000,IF(ROUND(IF(900000&gt;Q23&gt;700000,25000+((Q23-700000)*0.1),0),0)-(Q23-700000)&gt;0,ROUND(IF(900000&gt;Q23&gt;700000,25000+((Q23-700000)*0.1),0),0)-(Q23-700000),0),0)</f>
        <v>0</v>
      </c>
      <c r="S33" s="6"/>
    </row>
    <row r="34" spans="1:19" x14ac:dyDescent="0.25">
      <c r="A34" s="6"/>
      <c r="B34" s="27" t="s">
        <v>68</v>
      </c>
      <c r="C34" s="6"/>
      <c r="D34" s="28">
        <f>+D23-D33</f>
        <v>-50200</v>
      </c>
      <c r="E34" s="6"/>
      <c r="F34" s="48" t="s">
        <v>43</v>
      </c>
      <c r="G34" s="6">
        <f>SUM(G24:G33)</f>
        <v>0</v>
      </c>
      <c r="I34" s="31" t="s">
        <v>37</v>
      </c>
      <c r="J34" s="6"/>
      <c r="K34" s="6"/>
      <c r="L34" s="40">
        <f>+ROUND(L33*4/100,0)</f>
        <v>0</v>
      </c>
      <c r="N34" s="31" t="s">
        <v>35</v>
      </c>
      <c r="O34" s="6"/>
      <c r="Q34" s="68">
        <f>+Q31-Q32-Q33</f>
        <v>0</v>
      </c>
      <c r="S34" s="6"/>
    </row>
    <row r="35" spans="1:19" x14ac:dyDescent="0.25">
      <c r="A35" s="6"/>
      <c r="B35" s="6"/>
      <c r="C35" s="6"/>
      <c r="D35" s="6"/>
      <c r="E35" s="6"/>
      <c r="F35" s="26" t="s">
        <v>66</v>
      </c>
      <c r="G35" s="28">
        <f>+IF(G34&lt;=150000,G34,150000)</f>
        <v>0</v>
      </c>
      <c r="I35" s="54" t="s">
        <v>39</v>
      </c>
      <c r="J35" s="45"/>
      <c r="K35" s="45"/>
      <c r="L35" s="47">
        <f>+L33+L34</f>
        <v>0</v>
      </c>
      <c r="M35" s="56"/>
      <c r="N35" s="6" t="s">
        <v>37</v>
      </c>
      <c r="P35" s="69"/>
      <c r="Q35" s="42">
        <f>+ROUND(Q34*4/100,0)</f>
        <v>0</v>
      </c>
      <c r="S35" s="6"/>
    </row>
    <row r="36" spans="1:19" x14ac:dyDescent="0.25">
      <c r="A36" s="6"/>
      <c r="B36" s="6"/>
      <c r="C36" s="6"/>
      <c r="D36" s="6"/>
      <c r="E36" s="6"/>
      <c r="I36" s="6"/>
      <c r="J36" s="2"/>
      <c r="K36" s="2"/>
      <c r="L36" s="2"/>
      <c r="N36" s="54" t="s">
        <v>39</v>
      </c>
      <c r="O36" s="50"/>
      <c r="P36" s="50"/>
      <c r="Q36" s="70">
        <f>+Q34+Q35</f>
        <v>0</v>
      </c>
      <c r="S36" s="6"/>
    </row>
    <row r="37" spans="1:19" x14ac:dyDescent="0.25">
      <c r="A37" s="6"/>
      <c r="B37" s="26" t="s">
        <v>44</v>
      </c>
      <c r="C37" s="26"/>
      <c r="D37" s="26"/>
      <c r="E37" s="6"/>
      <c r="F37" s="21" t="s">
        <v>47</v>
      </c>
      <c r="G37" s="21"/>
      <c r="I37" s="65" t="s">
        <v>82</v>
      </c>
      <c r="J37" s="65"/>
      <c r="K37" s="65"/>
      <c r="L37" s="66" t="str">
        <f>+IF(L35&gt;Q35,"NEW","OLD")</f>
        <v>OLD</v>
      </c>
      <c r="N37" s="6"/>
      <c r="O37" s="6"/>
      <c r="Q37" s="6"/>
      <c r="S37" s="6"/>
    </row>
    <row r="38" spans="1:19" x14ac:dyDescent="0.25">
      <c r="A38" s="6"/>
      <c r="B38" s="2" t="s">
        <v>46</v>
      </c>
      <c r="C38" s="6"/>
      <c r="D38" s="2">
        <f>+E20</f>
        <v>0</v>
      </c>
      <c r="E38" s="6"/>
      <c r="F38" s="6" t="s">
        <v>49</v>
      </c>
      <c r="G38" s="29">
        <f>+IF(AND(H20&gt;0,L20&gt;50000),50000,IF(H20&gt;0,L20,0))</f>
        <v>0</v>
      </c>
      <c r="I38" s="31" t="s">
        <v>39</v>
      </c>
      <c r="J38" s="6"/>
      <c r="K38" s="6"/>
      <c r="L38" s="57">
        <f>+IF(L35&gt;Q36,Q36,L35)</f>
        <v>0</v>
      </c>
      <c r="N38" s="6"/>
      <c r="O38" s="6"/>
      <c r="Q38" s="6"/>
      <c r="S38" s="6"/>
    </row>
    <row r="39" spans="1:19" x14ac:dyDescent="0.25">
      <c r="A39" s="6"/>
      <c r="B39" s="6" t="s">
        <v>48</v>
      </c>
      <c r="C39" s="6"/>
      <c r="D39" s="22">
        <f>+(C20+D20)*0.4</f>
        <v>0</v>
      </c>
      <c r="E39" s="6"/>
      <c r="F39" s="6" t="s">
        <v>62</v>
      </c>
      <c r="G39" s="6">
        <f>+H20</f>
        <v>0</v>
      </c>
      <c r="I39" s="31" t="s">
        <v>41</v>
      </c>
      <c r="J39" s="2"/>
      <c r="K39" s="2"/>
      <c r="L39" s="43">
        <f>+R20</f>
        <v>0</v>
      </c>
      <c r="M39" s="6"/>
      <c r="N39" s="6"/>
      <c r="O39" s="6"/>
      <c r="P39" s="6"/>
      <c r="Q39" s="6"/>
    </row>
    <row r="40" spans="1:19" x14ac:dyDescent="0.25">
      <c r="A40" s="6"/>
      <c r="B40" s="6" t="s">
        <v>50</v>
      </c>
      <c r="C40" s="22">
        <f>+(C20+D20)*0.1</f>
        <v>0</v>
      </c>
      <c r="D40" s="6"/>
      <c r="E40" s="6"/>
      <c r="F40" s="25" t="s">
        <v>52</v>
      </c>
      <c r="G40" s="29">
        <v>0</v>
      </c>
      <c r="I40" s="31" t="s">
        <v>42</v>
      </c>
      <c r="L40" s="56">
        <v>0</v>
      </c>
      <c r="M40" s="6"/>
      <c r="N40" s="6"/>
      <c r="O40" s="6"/>
      <c r="P40" s="6"/>
      <c r="Q40" s="6"/>
    </row>
    <row r="41" spans="1:19" x14ac:dyDescent="0.25">
      <c r="A41" s="6"/>
      <c r="B41" s="2" t="s">
        <v>51</v>
      </c>
      <c r="C41" s="30">
        <v>0</v>
      </c>
      <c r="D41" s="6"/>
      <c r="E41" s="6"/>
      <c r="F41" s="25" t="s">
        <v>54</v>
      </c>
      <c r="G41" s="29">
        <v>0</v>
      </c>
      <c r="I41" s="49" t="s">
        <v>45</v>
      </c>
      <c r="J41" s="50"/>
      <c r="K41" s="50"/>
      <c r="L41" s="58">
        <f>+CEILING((L38-L39-L40),10)</f>
        <v>0</v>
      </c>
      <c r="M41" s="6"/>
      <c r="N41" s="6"/>
      <c r="O41" s="6"/>
      <c r="P41" s="6"/>
      <c r="Q41" s="6"/>
    </row>
    <row r="42" spans="1:19" x14ac:dyDescent="0.25">
      <c r="A42" s="6"/>
      <c r="B42" s="6" t="s">
        <v>53</v>
      </c>
      <c r="C42" s="6"/>
      <c r="D42" s="22">
        <f>+IF(C41-C40&gt;0,C41-C40,0)</f>
        <v>0</v>
      </c>
      <c r="E42" s="6"/>
      <c r="F42" s="25" t="s">
        <v>81</v>
      </c>
      <c r="G42" s="6">
        <v>0</v>
      </c>
      <c r="I42" s="6"/>
      <c r="N42" s="6"/>
      <c r="O42" s="6"/>
      <c r="P42" s="6"/>
      <c r="Q42" s="6"/>
      <c r="R42" s="6"/>
    </row>
    <row r="43" spans="1:19" x14ac:dyDescent="0.25">
      <c r="A43" s="6"/>
      <c r="B43" s="6"/>
      <c r="C43" s="6"/>
      <c r="D43" s="6"/>
      <c r="E43" s="6"/>
      <c r="F43" s="6" t="s">
        <v>55</v>
      </c>
      <c r="G43" s="6"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9" x14ac:dyDescent="0.25">
      <c r="A44" s="6"/>
      <c r="B44" s="6"/>
      <c r="C44" s="6"/>
      <c r="D44" s="6"/>
      <c r="E44" s="6"/>
      <c r="F44" s="46" t="s">
        <v>56</v>
      </c>
      <c r="G44" s="6"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9" ht="15.75" thickBot="1" x14ac:dyDescent="0.3">
      <c r="A45" s="2"/>
      <c r="B45" s="2"/>
      <c r="C45" s="2"/>
      <c r="D45" s="2"/>
      <c r="E45" s="2"/>
      <c r="F45" s="26" t="s">
        <v>69</v>
      </c>
      <c r="G45" s="28">
        <f>SUM(G38:G44)</f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9" ht="15.75" thickBot="1" x14ac:dyDescent="0.3">
      <c r="F46" s="44" t="s">
        <v>24</v>
      </c>
      <c r="G46" s="41">
        <f>+L23</f>
        <v>-50200</v>
      </c>
    </row>
  </sheetData>
  <dataValidations count="1">
    <dataValidation type="list" allowBlank="1" showInputMessage="1" showErrorMessage="1" sqref="O4" xr:uid="{3376882A-5178-46B5-9E94-45EF4B2852DC}">
      <formula1>"HBA HOUSE,HBA INTEREST"</formula1>
    </dataValidation>
  </dataValidations>
  <printOptions horizontalCentered="1" verticalCentered="1"/>
  <pageMargins left="0" right="0" top="0" bottom="0" header="0.31496062992125984" footer="0.31496062992125984"/>
  <pageSetup scale="69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</dc:creator>
  <cp:lastModifiedBy>Anis</cp:lastModifiedBy>
  <cp:lastPrinted>2023-06-03T13:20:31Z</cp:lastPrinted>
  <dcterms:created xsi:type="dcterms:W3CDTF">2023-03-20T06:55:26Z</dcterms:created>
  <dcterms:modified xsi:type="dcterms:W3CDTF">2024-03-30T08:26:41Z</dcterms:modified>
</cp:coreProperties>
</file>